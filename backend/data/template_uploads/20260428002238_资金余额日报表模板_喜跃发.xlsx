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500"/>
  </bookViews>
  <sheets>
    <sheet name="余额日报表" sheetId="2" r:id="rId1"/>
  </sheets>
  <definedNames>
    <definedName name="_xlnm._FilterDatabase" localSheetId="0" hidden="1">余额日报表!$B$4:$O$300</definedName>
    <definedName name="_xlnm.Print_Titles" localSheetId="0">余额日报表!$4:$4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<sst xmlns="http://schemas.openxmlformats.org/spreadsheetml/2006/main" count="769" uniqueCount="384">
  <si>
    <t>资金余额日报表</t>
  </si>
  <si>
    <t>编制单位：</t>
  </si>
  <si>
    <r>
      <rPr>
        <b/>
        <sz val="14"/>
        <color rgb="FF666666"/>
        <rFont val="宋体"/>
        <charset val="134"/>
      </rPr>
      <t>年</t>
    </r>
    <r>
      <rPr>
        <b/>
        <sz val="14"/>
        <color rgb="FF666666"/>
        <rFont val="Noto Sans CJK SC"/>
        <charset val="134"/>
      </rPr>
      <t xml:space="preserve">      </t>
    </r>
    <r>
      <rPr>
        <b/>
        <sz val="14"/>
        <color rgb="FF666666"/>
        <rFont val="宋体"/>
        <charset val="134"/>
      </rPr>
      <t>月</t>
    </r>
    <r>
      <rPr>
        <b/>
        <sz val="14"/>
        <color rgb="FF666666"/>
        <rFont val="Noto Sans CJK SC"/>
        <charset val="134"/>
      </rPr>
      <t xml:space="preserve">      </t>
    </r>
    <r>
      <rPr>
        <b/>
        <sz val="14"/>
        <color rgb="FF666666"/>
        <rFont val="宋体"/>
        <charset val="134"/>
      </rPr>
      <t>日</t>
    </r>
  </si>
  <si>
    <t>单位：元</t>
  </si>
  <si>
    <t>单位名称</t>
  </si>
  <si>
    <t>资金类型</t>
  </si>
  <si>
    <t>银行账户</t>
  </si>
  <si>
    <t>账户编号</t>
  </si>
  <si>
    <t>期初余额</t>
  </si>
  <si>
    <t>本日收入</t>
  </si>
  <si>
    <t>本月累计收入</t>
  </si>
  <si>
    <t>本日支出</t>
  </si>
  <si>
    <t>本月累计支出</t>
  </si>
  <si>
    <t>期末余额</t>
  </si>
  <si>
    <t>备注</t>
  </si>
  <si>
    <t>山西喜跃发道路建设养护集团有限公司</t>
  </si>
  <si>
    <t>银行存款</t>
  </si>
  <si>
    <t>中国农业银行山西省阳曲支行</t>
  </si>
  <si>
    <t>ZH0001</t>
  </si>
  <si>
    <t>中国农业银行云南省景洪金穗支行</t>
  </si>
  <si>
    <t>ZH0002</t>
  </si>
  <si>
    <t>阳曲农商行营业部</t>
  </si>
  <si>
    <t>ZH0003</t>
  </si>
  <si>
    <t>阳曲农商行东黄水支行</t>
  </si>
  <si>
    <t>ZH0004</t>
  </si>
  <si>
    <t>阳曲农商行黄寨支行</t>
  </si>
  <si>
    <t>ZH0005</t>
  </si>
  <si>
    <t>阳曲农商行城关 支行</t>
  </si>
  <si>
    <t>ZH0006</t>
  </si>
  <si>
    <t>招商银行太原迎泽支行</t>
  </si>
  <si>
    <t>ZH0007</t>
  </si>
  <si>
    <t>中国银行并州支行营业部</t>
  </si>
  <si>
    <t>ZH0008</t>
  </si>
  <si>
    <t>华夏银行太原分行营业部</t>
  </si>
  <si>
    <t>ZH0009</t>
  </si>
  <si>
    <t>晋商银行太原晋阳街支行</t>
  </si>
  <si>
    <t>ZH0010</t>
  </si>
  <si>
    <t>晋商银行太原南中环支行</t>
  </si>
  <si>
    <t>ZH0011</t>
  </si>
  <si>
    <t>华夏银行太原亲贤街支行</t>
  </si>
  <si>
    <t>ZH0012</t>
  </si>
  <si>
    <t>中国民生银行太原迎泽支行</t>
  </si>
  <si>
    <t>ZH0013</t>
  </si>
  <si>
    <t>中国农业发展银行原平支行</t>
  </si>
  <si>
    <t>ZH0014</t>
  </si>
  <si>
    <t>山西银行太原高新街支行</t>
  </si>
  <si>
    <t>ZH0015</t>
  </si>
  <si>
    <t>浙商银行太原分行</t>
  </si>
  <si>
    <t>ZH0016</t>
  </si>
  <si>
    <t>广发银行太原分行营业部</t>
  </si>
  <si>
    <t>ZH0017</t>
  </si>
  <si>
    <t>中国农业银行阳曲县工商街支行</t>
  </si>
  <si>
    <t>ZH0018</t>
  </si>
  <si>
    <t>农民工工资专户</t>
  </si>
  <si>
    <t>中国银行原平前进西街支行</t>
  </si>
  <si>
    <t>ZH0019</t>
  </si>
  <si>
    <t>中国工商银行太原太钢支行</t>
  </si>
  <si>
    <t>ZH0020</t>
  </si>
  <si>
    <t>兴业银行太原平阳路支行</t>
  </si>
  <si>
    <t>ZH0021</t>
  </si>
  <si>
    <t>保证金户</t>
  </si>
  <si>
    <t>ZH0023</t>
  </si>
  <si>
    <t>中信银行太原长治路支行</t>
  </si>
  <si>
    <t>ZH0024</t>
  </si>
  <si>
    <t>浦发银行太原长风商务区支行</t>
  </si>
  <si>
    <t>ZH0025</t>
  </si>
  <si>
    <t>中信银行北京广渠路支行</t>
  </si>
  <si>
    <t>ZH0026</t>
  </si>
  <si>
    <t>中国农业发展银行泽州县支行</t>
  </si>
  <si>
    <t>ZH0027</t>
  </si>
  <si>
    <t>山西喜跃发道路建设养护集团有限公司长治公司</t>
  </si>
  <si>
    <t>华夏银行</t>
  </si>
  <si>
    <t>ZH0031</t>
  </si>
  <si>
    <t>兴业银行长治高新区支行</t>
  </si>
  <si>
    <t>ZH0032</t>
  </si>
  <si>
    <t>山西喜跃发道路建设养护集团有限公司海南分公司</t>
  </si>
  <si>
    <t>中国农业银行</t>
  </si>
  <si>
    <t>ZH0034</t>
  </si>
  <si>
    <t>山西喜跃发道路建设养护集团有限公司深圳分公司</t>
  </si>
  <si>
    <t>中国工商银行深圳益田支行</t>
  </si>
  <si>
    <t>ZH0036</t>
  </si>
  <si>
    <t>山西保润通公路工程有限公司</t>
  </si>
  <si>
    <t>ZH0037</t>
  </si>
  <si>
    <t>阳曲县荣耀工程有限公司</t>
  </si>
  <si>
    <t>中国农业银行山西省阳曲首邑支行</t>
  </si>
  <si>
    <t>ZH0038</t>
  </si>
  <si>
    <t>阳曲县瑞翔建筑工程有限公司</t>
  </si>
  <si>
    <t>ZH0039</t>
  </si>
  <si>
    <t>阳曲县晓通建筑材料经营店</t>
  </si>
  <si>
    <t>ZH0040</t>
  </si>
  <si>
    <t>阳曲县华洋建筑机械设备租赁部</t>
  </si>
  <si>
    <t>ZH0043</t>
  </si>
  <si>
    <t>阳曲农商行西凌井支行</t>
  </si>
  <si>
    <t>ZH0044</t>
  </si>
  <si>
    <t>阳曲县志中工程机械租赁部</t>
  </si>
  <si>
    <t>阳曲农商行城关支行</t>
  </si>
  <si>
    <t>ZH0045</t>
  </si>
  <si>
    <t>阳曲县旺腾达运输服务部</t>
  </si>
  <si>
    <t>ZH0046</t>
  </si>
  <si>
    <t>阳曲县天琦建材有限公司</t>
  </si>
  <si>
    <t>中国建设银行阳曲县支行</t>
  </si>
  <si>
    <t>ZH0047</t>
  </si>
  <si>
    <t>阳曲县荣轩机械租赁有限公司</t>
  </si>
  <si>
    <t>ZH0048</t>
  </si>
  <si>
    <t>ZH0049</t>
  </si>
  <si>
    <t>阳曲县明郝建材有限公司</t>
  </si>
  <si>
    <t>ZH0050</t>
  </si>
  <si>
    <t>阳曲县昌通泰商贸有限公司</t>
  </si>
  <si>
    <t>ZH0051</t>
  </si>
  <si>
    <t>阳曲县通利百商贸有限公司</t>
  </si>
  <si>
    <t>ZH0052</t>
  </si>
  <si>
    <t>银行存款小计</t>
  </si>
  <si>
    <t>现金账户</t>
  </si>
  <si>
    <t>ZH0028</t>
  </si>
  <si>
    <t>现金账户（大同旅游线项目）</t>
  </si>
  <si>
    <t>ZH0029</t>
  </si>
  <si>
    <t>ZH0035</t>
  </si>
  <si>
    <t>现金路众</t>
  </si>
  <si>
    <t>ZH0060</t>
  </si>
  <si>
    <t>现金账户小计</t>
  </si>
  <si>
    <t>票据账户</t>
  </si>
  <si>
    <t>ZH0030</t>
  </si>
  <si>
    <t>票据账户小计</t>
  </si>
  <si>
    <t>山西喜跃发道路建设养护集团有限公司 合计</t>
  </si>
  <si>
    <t>交通银行太原千峰南路支行</t>
  </si>
  <si>
    <t>ZH0022</t>
  </si>
  <si>
    <t>长治挂靠</t>
  </si>
  <si>
    <t>长治挂靠合计</t>
  </si>
  <si>
    <t>山西路众道桥有限公司</t>
  </si>
  <si>
    <t>ZH0054</t>
  </si>
  <si>
    <t>对方基本户</t>
  </si>
  <si>
    <t>ZH0055</t>
  </si>
  <si>
    <t>ZH0056</t>
  </si>
  <si>
    <t>中国工商银行五一路支行</t>
  </si>
  <si>
    <t>ZH0057</t>
  </si>
  <si>
    <t>黄东线项目</t>
  </si>
  <si>
    <t>农商行阳曲县大盂支行</t>
  </si>
  <si>
    <t>ZH0058</t>
  </si>
  <si>
    <t>停用</t>
  </si>
  <si>
    <t>交通银行太原建设北路支行</t>
  </si>
  <si>
    <t>ZH0059</t>
  </si>
  <si>
    <t>工跃</t>
  </si>
  <si>
    <t>ZH0061</t>
  </si>
  <si>
    <t>山西路众道桥有限公司 合计</t>
  </si>
  <si>
    <t>山西诚信市政建设有限公司</t>
  </si>
  <si>
    <t>ZH0062</t>
  </si>
  <si>
    <t>秋郭路项目</t>
  </si>
  <si>
    <t>五岳</t>
  </si>
  <si>
    <t>ZH0063</t>
  </si>
  <si>
    <t>ZH0064</t>
  </si>
  <si>
    <t>山西诚信市政建设有限公司 合计</t>
  </si>
  <si>
    <t>陕西建工集团有限公司</t>
  </si>
  <si>
    <t>ZH0065</t>
  </si>
  <si>
    <t>ZH0066</t>
  </si>
  <si>
    <t>陕西建工集团有限公司 合计</t>
  </si>
  <si>
    <t>四川瑞通建设集团有限公司</t>
  </si>
  <si>
    <t>ZH0067</t>
  </si>
  <si>
    <t>兴业银行太原分行</t>
  </si>
  <si>
    <t>ZH0068</t>
  </si>
  <si>
    <t>ZH0069</t>
  </si>
  <si>
    <t>四川瑞通建设集团有限公司 合计</t>
  </si>
  <si>
    <t>阳曲县跃达市政建设管理有限公司</t>
  </si>
  <si>
    <t>ZH0070</t>
  </si>
  <si>
    <t>ZH0071</t>
  </si>
  <si>
    <t>晋商银行晋阳街支行</t>
  </si>
  <si>
    <t>ZH0072</t>
  </si>
  <si>
    <t>山西银行太原龙城北街支行</t>
  </si>
  <si>
    <t>ZH0073</t>
  </si>
  <si>
    <t>ZH0074</t>
  </si>
  <si>
    <t>ZH0075</t>
  </si>
  <si>
    <t>阳曲县跃达市政建设管理有限公司 合计</t>
  </si>
  <si>
    <t>阳曲县跃通交通建设管理有限公司</t>
  </si>
  <si>
    <t>ZH0076</t>
  </si>
  <si>
    <t>ZH0077</t>
  </si>
  <si>
    <t>山西银行龙城北街支行</t>
  </si>
  <si>
    <t>ZH0078</t>
  </si>
  <si>
    <t>ZH0079</t>
  </si>
  <si>
    <t>ZH0080</t>
  </si>
  <si>
    <t>阳曲县跃通交通建设管理有限公司 合计</t>
  </si>
  <si>
    <t>阳曲县跃中公路建设管理有限公司</t>
  </si>
  <si>
    <t>ZH0081</t>
  </si>
  <si>
    <t>ZH0082</t>
  </si>
  <si>
    <t>ZH0083</t>
  </si>
  <si>
    <t>ZH0084</t>
  </si>
  <si>
    <t>中国农业银行阳曲工商街支行保证金户</t>
  </si>
  <si>
    <t>ZH0085</t>
  </si>
  <si>
    <t>ZH0086</t>
  </si>
  <si>
    <t>ZH0087</t>
  </si>
  <si>
    <t>阳曲县跃中公路建设管理有限公司 合计</t>
  </si>
  <si>
    <t>山西盛世兴工程技术检测咨询有限公司</t>
  </si>
  <si>
    <t>华夏银行太原分行</t>
  </si>
  <si>
    <t>ZH0088</t>
  </si>
  <si>
    <t>ZH0089</t>
  </si>
  <si>
    <t>ZH0090</t>
  </si>
  <si>
    <t>晋商银行南中环支行</t>
  </si>
  <si>
    <t>ZH0091</t>
  </si>
  <si>
    <t>阳曲农商行新阳街支行</t>
  </si>
  <si>
    <t>ZH0092</t>
  </si>
  <si>
    <t>ZH0093</t>
  </si>
  <si>
    <t>ZH0094</t>
  </si>
  <si>
    <t>山西盛世兴工程技术检测咨询有限公司 合计</t>
  </si>
  <si>
    <t>山西路医生勘察设计有限公司</t>
  </si>
  <si>
    <t>ZH0095</t>
  </si>
  <si>
    <t>ZH0096</t>
  </si>
  <si>
    <t>山西路医生勘察设计有限公司 合计</t>
  </si>
  <si>
    <t>阳曲县鑫路通工程有限公司</t>
  </si>
  <si>
    <t>ZH0097</t>
  </si>
  <si>
    <t>ZH0098</t>
  </si>
  <si>
    <t>中国农业银行阳曲县支行</t>
  </si>
  <si>
    <t>ZH0099</t>
  </si>
  <si>
    <t>久悬账户</t>
  </si>
  <si>
    <t>ZH0041</t>
  </si>
  <si>
    <t>五台莱商村镇银行总行营业部</t>
  </si>
  <si>
    <t>ZH0042</t>
  </si>
  <si>
    <t>银行卡</t>
  </si>
  <si>
    <t>ZH0100</t>
  </si>
  <si>
    <t>银行卡小计</t>
  </si>
  <si>
    <t>ZH0101</t>
  </si>
  <si>
    <t>ZH0102</t>
  </si>
  <si>
    <t>阳曲县鑫路通工程有限公司 合计</t>
  </si>
  <si>
    <t>山西锋鑫通贸易有限公司</t>
  </si>
  <si>
    <t>ZH0103</t>
  </si>
  <si>
    <t>山西银行股份有限公司阳曲新安东街支行</t>
  </si>
  <si>
    <t>ZH0104</t>
  </si>
  <si>
    <t>ZH0105</t>
  </si>
  <si>
    <t>山西锋鑫通贸易有限公司 合计</t>
  </si>
  <si>
    <t>山西喜跃发实业发展有限公司</t>
  </si>
  <si>
    <t>中信银行太原府西街支行</t>
  </si>
  <si>
    <t>ZH0106</t>
  </si>
  <si>
    <t>ZH0107</t>
  </si>
  <si>
    <t>ZH0108</t>
  </si>
  <si>
    <t>ZH0109</t>
  </si>
  <si>
    <t>ZH0110</t>
  </si>
  <si>
    <t>兴业银行太原分行营业部</t>
  </si>
  <si>
    <t>ZH0111</t>
  </si>
  <si>
    <t>ZH0112</t>
  </si>
  <si>
    <t>招商银行</t>
  </si>
  <si>
    <t>ZH0113</t>
  </si>
  <si>
    <t>招商银行定期账户</t>
  </si>
  <si>
    <t>ZH0114</t>
  </si>
  <si>
    <t>广发银行太原长风街支行</t>
  </si>
  <si>
    <t>ZH0115</t>
  </si>
  <si>
    <t>ZH0116</t>
  </si>
  <si>
    <t>ZH0117</t>
  </si>
  <si>
    <t>山西喜跃发实业发展有限公司 合计</t>
  </si>
  <si>
    <t>阳曲县鼎铭建筑工程有限公司</t>
  </si>
  <si>
    <t>中国农业银行阳曲支行</t>
  </si>
  <si>
    <t>ZH0118</t>
  </si>
  <si>
    <t>晋商银行</t>
  </si>
  <si>
    <t>ZH0119</t>
  </si>
  <si>
    <t>ZH0120</t>
  </si>
  <si>
    <t>ZH0121</t>
  </si>
  <si>
    <t>阳曲县鼎铭建筑工程有限公司 合计</t>
  </si>
  <si>
    <t>阳曲县源泰建筑工程有限公司</t>
  </si>
  <si>
    <t>ZH0122</t>
  </si>
  <si>
    <t>ZH0123</t>
  </si>
  <si>
    <t>ZH0124</t>
  </si>
  <si>
    <t>ZH0125</t>
  </si>
  <si>
    <t>招商银行太原兴华街支行</t>
  </si>
  <si>
    <t>ZH0126</t>
  </si>
  <si>
    <t>ZH0127</t>
  </si>
  <si>
    <t>ZH0128</t>
  </si>
  <si>
    <t>阳曲县源泰建筑工程有限公司 合计</t>
  </si>
  <si>
    <t>阳曲县晟隆商贸有限公司</t>
  </si>
  <si>
    <t>ZH0129</t>
  </si>
  <si>
    <t>ZH0130</t>
  </si>
  <si>
    <t>ZH0131</t>
  </si>
  <si>
    <t>建设银行太原开发区支行</t>
  </si>
  <si>
    <t>ZH0132</t>
  </si>
  <si>
    <t>中国银行太原春居南路支行</t>
  </si>
  <si>
    <t>ZH0133</t>
  </si>
  <si>
    <t>ZH0134</t>
  </si>
  <si>
    <t>ZH0135</t>
  </si>
  <si>
    <t>ZH0136</t>
  </si>
  <si>
    <t>ZH0137</t>
  </si>
  <si>
    <t>阳曲县晟隆商贸有限公司 合计</t>
  </si>
  <si>
    <t>阳曲县晟泰通工程有限公司</t>
  </si>
  <si>
    <t>ZH0138</t>
  </si>
  <si>
    <t>ZH0139</t>
  </si>
  <si>
    <t>兴业银行平阳路支行</t>
  </si>
  <si>
    <t>ZH0140</t>
  </si>
  <si>
    <t>ZH0141</t>
  </si>
  <si>
    <t>ZH0142</t>
  </si>
  <si>
    <t>阳曲县晟泰通工程有限公司 合计</t>
  </si>
  <si>
    <t>阳曲县路达建筑工程有限公司</t>
  </si>
  <si>
    <t>ZH0143</t>
  </si>
  <si>
    <t>ZH0144</t>
  </si>
  <si>
    <t>ZH0145</t>
  </si>
  <si>
    <t>ZH0146</t>
  </si>
  <si>
    <t>阳曲县路达建筑工程有限公司 合计</t>
  </si>
  <si>
    <t>阳曲县中泰鑫建筑工程有公司</t>
  </si>
  <si>
    <t>ZH0147</t>
  </si>
  <si>
    <t>ZH0148</t>
  </si>
  <si>
    <t>ZH0149</t>
  </si>
  <si>
    <t>阳曲县中泰鑫建筑工程有公司 合计</t>
  </si>
  <si>
    <t>山西龙发建材有限公司</t>
  </si>
  <si>
    <t>ZH0150</t>
  </si>
  <si>
    <t>ZH0151</t>
  </si>
  <si>
    <t>ZH0152</t>
  </si>
  <si>
    <t>ZH0153</t>
  </si>
  <si>
    <t>ZH0154</t>
  </si>
  <si>
    <t>ZH0155</t>
  </si>
  <si>
    <t>山西龙发建材有限公司 合计</t>
  </si>
  <si>
    <t>山西喜跃发生态园林开发有限公司</t>
  </si>
  <si>
    <t>ZH0156</t>
  </si>
  <si>
    <t>ZH0157</t>
  </si>
  <si>
    <t>ZH0158</t>
  </si>
  <si>
    <t>ZH0159</t>
  </si>
  <si>
    <t>ZH0160</t>
  </si>
  <si>
    <t>ZH0161</t>
  </si>
  <si>
    <t>ZH0162</t>
  </si>
  <si>
    <t>ZH0163</t>
  </si>
  <si>
    <t>渤海银行</t>
  </si>
  <si>
    <t>ZH0164</t>
  </si>
  <si>
    <t>ZH0165</t>
  </si>
  <si>
    <t>ZH0166</t>
  </si>
  <si>
    <t>ZH0167</t>
  </si>
  <si>
    <t>ZH0168</t>
  </si>
  <si>
    <t>ZH0169</t>
  </si>
  <si>
    <t>山西喜跃发生态园林开发有限公司 合计</t>
  </si>
  <si>
    <t>太原市凝盛发建材有限公司</t>
  </si>
  <si>
    <t>ZH0179</t>
  </si>
  <si>
    <t>ZH0180</t>
  </si>
  <si>
    <t>ZH0181</t>
  </si>
  <si>
    <t>太原市凝盛发建材有限公司 合计</t>
  </si>
  <si>
    <t>山西喜跃发振兴乡村产业有限公司</t>
  </si>
  <si>
    <t>ZH0182</t>
  </si>
  <si>
    <t>ZH0183</t>
  </si>
  <si>
    <t>ZH0184</t>
  </si>
  <si>
    <t>山西喜跃发振兴乡村产业有限公司 合计</t>
  </si>
  <si>
    <t>太原市嘉蓬新型建材有限公司</t>
  </si>
  <si>
    <t>ZH0185</t>
  </si>
  <si>
    <t>ZH0186</t>
  </si>
  <si>
    <t>太原市嘉蓬新型建材有限公司 合计</t>
  </si>
  <si>
    <t>太原市鑫和协矿业有限公司</t>
  </si>
  <si>
    <t>山西尧都农村商业银行太原支行</t>
  </si>
  <si>
    <t>ZH0170</t>
  </si>
  <si>
    <t>ZH0171</t>
  </si>
  <si>
    <t>晋商银行大营盘支行</t>
  </si>
  <si>
    <t>ZH0172</t>
  </si>
  <si>
    <t>ZH0173</t>
  </si>
  <si>
    <t>ZH0174</t>
  </si>
  <si>
    <t>交通银行太原解放路支行</t>
  </si>
  <si>
    <t>ZH0175</t>
  </si>
  <si>
    <t>ZH0176</t>
  </si>
  <si>
    <t>ZH0177</t>
  </si>
  <si>
    <t>ZH0178</t>
  </si>
  <si>
    <t>太原市鑫和协矿业有限公司 合计</t>
  </si>
  <si>
    <t>路管家生态科技（山西）有限公司</t>
  </si>
  <si>
    <t>ZH0187</t>
  </si>
  <si>
    <t>ZH0188</t>
  </si>
  <si>
    <t>路管家生态科技（上海）有限公司</t>
  </si>
  <si>
    <t>中国银行上海市新金桥路支行</t>
  </si>
  <si>
    <t>ZH0189</t>
  </si>
  <si>
    <t>上海市太原商会</t>
  </si>
  <si>
    <t>中国建设银行</t>
  </si>
  <si>
    <t>ZH0053</t>
  </si>
  <si>
    <t>路管家生态科技（长治）有限公司</t>
  </si>
  <si>
    <t>ZH0190</t>
  </si>
  <si>
    <t>路管家自营 合计</t>
  </si>
  <si>
    <t>路管家生态科技（福建）有限公司</t>
  </si>
  <si>
    <t>中国工商银行福州凤凰支行</t>
  </si>
  <si>
    <t>ZH0191</t>
  </si>
  <si>
    <t>路管家生态科技（深圳）有限公司</t>
  </si>
  <si>
    <t>ZH0192</t>
  </si>
  <si>
    <t>路管家生态科技（四川）有限公司</t>
  </si>
  <si>
    <t>兴业银行成都磨子桥支行</t>
  </si>
  <si>
    <t>ZH0193</t>
  </si>
  <si>
    <t>路管家生态科技（珠海）有限公司</t>
  </si>
  <si>
    <t>农业银行</t>
  </si>
  <si>
    <t>ZH0194</t>
  </si>
  <si>
    <t>路管家生态科技（云南）有限公司</t>
  </si>
  <si>
    <t>中国银行昆明市经济技术开发区支行</t>
  </si>
  <si>
    <t>ZH0195</t>
  </si>
  <si>
    <t>路管家生态科技（陕西）有限公司</t>
  </si>
  <si>
    <t>ZH0196</t>
  </si>
  <si>
    <t>路管家生态科技（北京）有限公司</t>
  </si>
  <si>
    <t>ZH0197</t>
  </si>
  <si>
    <t>路管家合作 合计</t>
  </si>
  <si>
    <t>总计</t>
  </si>
  <si>
    <t>银行存款合计</t>
  </si>
  <si>
    <t>现金账户合计</t>
  </si>
  <si>
    <t>银行卡合计</t>
  </si>
  <si>
    <t>票据账户合计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</si>
</sst>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rgb="FF000000"/>
      <name val="Calibri"/>
      <charset val="1"/>
    </font>
    <font>
      <b/>
      <sz val="14"/>
      <color rgb="FF000000"/>
      <name val="Calibri"/>
      <charset val="1"/>
    </font>
    <font>
      <b/>
      <sz val="20"/>
      <color rgb="FF122B49"/>
      <name val="Noto Sans CJK SC"/>
      <charset val="134"/>
    </font>
    <font>
      <b/>
      <sz val="14"/>
      <color rgb="FF666666"/>
      <name val="宋体"/>
      <charset val="134"/>
    </font>
    <font>
      <b/>
      <sz val="14"/>
      <color rgb="FF666666"/>
      <name val="Noto Sans CJK SC"/>
      <charset val="134"/>
    </font>
    <font>
      <b/>
      <sz val="10"/>
      <color rgb="FFFFFFFF"/>
      <name val="Noto Sans CJK SC"/>
      <charset val="134"/>
    </font>
    <font>
      <b/>
      <sz val="10"/>
      <color rgb="FFFFFFFF"/>
      <name val="宋体"/>
      <charset val="134"/>
    </font>
    <font>
      <sz val="10"/>
      <name val="SimSun"/>
      <charset val="134"/>
    </font>
    <font>
      <sz val="10"/>
      <name val="Calibri"/>
      <charset val="134"/>
    </font>
    <font>
      <b/>
      <sz val="10"/>
      <name val="SimSun"/>
      <charset val="134"/>
    </font>
    <font>
      <b/>
      <sz val="10"/>
      <name val="Calibri"/>
      <charset val="134"/>
    </font>
    <font>
      <b/>
      <sz val="10"/>
      <name val="宋体"/>
      <charset val="134"/>
    </font>
    <font>
      <b/>
      <sz val="11"/>
      <name val="SimSun"/>
      <charset val="134"/>
    </font>
    <font>
      <b/>
      <sz val="11"/>
      <name val="Calibr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5F8FC"/>
        <bgColor rgb="FFFFFFFF"/>
      </patternFill>
    </fill>
    <fill>
      <patternFill patternType="solid">
        <fgColor rgb="FFE8EEF5"/>
        <bgColor rgb="FFF5F8FC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4" fillId="0" borderId="0"/>
    <xf numFmtId="44" fontId="14" fillId="0" borderId="0"/>
    <xf numFmtId="9" fontId="14" fillId="0" borderId="0"/>
    <xf numFmtId="41" fontId="14" fillId="0" borderId="0"/>
    <xf numFmtId="42" fontId="14" fillId="0" borderId="0"/>
    <xf numFmtId="0" fontId="15" fillId="0" borderId="0">
      <alignment vertical="center"/>
    </xf>
    <xf numFmtId="0" fontId="16" fillId="0" borderId="0">
      <alignment vertical="center"/>
    </xf>
    <xf numFmtId="0" fontId="17" fillId="9" borderId="4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5">
      <alignment vertical="center"/>
    </xf>
    <xf numFmtId="0" fontId="22" fillId="0" borderId="5">
      <alignment vertical="center"/>
    </xf>
    <xf numFmtId="0" fontId="23" fillId="0" borderId="6">
      <alignment vertical="center"/>
    </xf>
    <xf numFmtId="0" fontId="23" fillId="0" borderId="0">
      <alignment vertical="center"/>
    </xf>
    <xf numFmtId="0" fontId="24" fillId="10" borderId="7">
      <alignment vertical="center"/>
    </xf>
    <xf numFmtId="0" fontId="25" fillId="11" borderId="8">
      <alignment vertical="center"/>
    </xf>
    <xf numFmtId="0" fontId="26" fillId="11" borderId="7">
      <alignment vertical="center"/>
    </xf>
    <xf numFmtId="0" fontId="27" fillId="12" borderId="9">
      <alignment vertical="center"/>
    </xf>
    <xf numFmtId="0" fontId="28" fillId="0" borderId="10">
      <alignment vertical="center"/>
    </xf>
    <xf numFmtId="0" fontId="29" fillId="0" borderId="11">
      <alignment vertical="center"/>
    </xf>
    <xf numFmtId="0" fontId="30" fillId="7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3" fillId="38" borderId="0">
      <alignment vertical="center"/>
    </xf>
    <xf numFmtId="0" fontId="35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 wrapText="1"/>
    </xf>
    <xf numFmtId="4" fontId="7" fillId="4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4" fontId="9" fillId="5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4" fontId="9" fillId="6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 wrapText="1"/>
    </xf>
    <xf numFmtId="4" fontId="10" fillId="5" borderId="2" xfId="0" applyNumberFormat="1" applyFont="1" applyFill="1" applyBorder="1" applyAlignment="1">
      <alignment horizontal="right" vertical="center"/>
    </xf>
    <xf numFmtId="43" fontId="7" fillId="0" borderId="2" xfId="0" applyNumberFormat="1" applyFont="1" applyBorder="1" applyAlignment="1">
      <alignment horizontal="right"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center" vertical="center" wrapText="1"/>
    </xf>
    <xf numFmtId="4" fontId="12" fillId="7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43" fontId="9" fillId="8" borderId="2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C4DE"/>
      <rgbColor rgb="00888888"/>
      <rgbColor rgb="009999FF"/>
      <rgbColor rgb="00993366"/>
      <rgbColor rgb="00F5F8FC"/>
      <rgbColor rgb="00E8EEF5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122B49"/>
      <rgbColor rgb="00339966"/>
      <rgbColor rgb="00003300"/>
      <rgbColor rgb="00333300"/>
      <rgbColor rgb="00993300"/>
      <rgbColor rgb="00993366"/>
      <rgbColor rgb="00274C7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01"/>
  <sheetViews>
    <sheetView showGridLines="0" tabSelected="1" zoomScale="85" zoomScaleNormal="85" workbookViewId="0">
      <selection activeCell="D5" sqref="D5"/>
    </sheetView>
  </sheetViews>
  <sheetFormatPr defaultColWidth="8.68181818181818" defaultRowHeight="14.5"/>
  <cols>
    <col min="1" max="1" width="2" customWidth="1"/>
    <col min="2" max="2" width="47.4545454545455" style="2" customWidth="1"/>
    <col min="3" max="3" width="12" customWidth="1"/>
    <col min="4" max="4" width="37.3636363636364" style="2" customWidth="1"/>
    <col min="5" max="5" width="12" customWidth="1"/>
    <col min="6" max="6" width="18" customWidth="1"/>
    <col min="7" max="7" width="14" customWidth="1"/>
    <col min="8" max="8" width="16" customWidth="1"/>
    <col min="9" max="9" width="14" customWidth="1"/>
    <col min="10" max="10" width="16" customWidth="1"/>
    <col min="11" max="11" width="18" customWidth="1"/>
    <col min="12" max="12" width="15" customWidth="1"/>
    <col min="14" max="14" width="11.7272727272727" customWidth="1"/>
    <col min="15" max="15" width="10.5454545454545"/>
  </cols>
  <sheetData>
    <row r="1" ht="39.75" customHeight="1" spans="2:12">
      <c r="B1" s="3" t="s">
        <v>0</v>
      </c>
    </row>
    <row r="2" s="1" customFormat="1" ht="27.75" customHeight="1" spans="2:12">
      <c r="B2" s="4" t="s">
        <v>1</v>
      </c>
      <c r="C2" s="5"/>
      <c r="D2" s="6" t="s">
        <v>2</v>
      </c>
      <c r="I2" s="5"/>
      <c r="J2" s="5"/>
      <c r="K2" s="7" t="s">
        <v>3</v>
      </c>
      <c r="L2" s="8"/>
    </row>
    <row r="4" ht="31.5" customHeight="1" spans="2:12">
      <c r="B4" s="9" t="s">
        <v>4</v>
      </c>
      <c r="C4" s="9" t="s">
        <v>5</v>
      </c>
      <c r="D4" s="10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</row>
    <row r="5" ht="24" customHeight="1" spans="2:12">
      <c r="B5" s="11" t="s">
        <v>15</v>
      </c>
      <c r="C5" s="11" t="s">
        <v>16</v>
      </c>
      <c r="D5" s="11" t="s">
        <v>17</v>
      </c>
      <c r="E5" s="11" t="s">
        <v>18</v>
      </c>
      <c r="F5" s="12">
        <v>9029678.47</v>
      </c>
      <c r="G5" s="12"/>
      <c r="H5" s="12"/>
      <c r="I5" s="12"/>
      <c r="J5" s="12"/>
      <c r="K5" s="12">
        <f>F5+H5-J5</f>
        <v>9029678.47</v>
      </c>
      <c r="L5" s="13"/>
    </row>
    <row r="6" ht="24" customHeight="1" spans="2:12">
      <c r="B6" s="14"/>
      <c r="C6" s="14" t="s">
        <v>16</v>
      </c>
      <c r="D6" s="14" t="s">
        <v>19</v>
      </c>
      <c r="E6" s="14" t="s">
        <v>20</v>
      </c>
      <c r="F6" s="15">
        <v>853.55</v>
      </c>
      <c r="G6" s="15"/>
      <c r="H6" s="15"/>
      <c r="I6" s="15"/>
      <c r="J6" s="15"/>
      <c r="K6" s="12">
        <f t="shared" ref="K6:K48" si="0">F6+H6-J6</f>
        <v>853.55</v>
      </c>
      <c r="L6" s="13"/>
    </row>
    <row r="7" ht="24" customHeight="1" spans="2:12">
      <c r="B7" s="11"/>
      <c r="C7" s="11" t="s">
        <v>16</v>
      </c>
      <c r="D7" s="11" t="s">
        <v>21</v>
      </c>
      <c r="E7" s="11" t="s">
        <v>22</v>
      </c>
      <c r="F7" s="12">
        <v>1218.42</v>
      </c>
      <c r="G7" s="12"/>
      <c r="H7" s="12"/>
      <c r="I7" s="12"/>
      <c r="J7" s="12"/>
      <c r="K7" s="12">
        <f t="shared" si="0"/>
        <v>1218.42</v>
      </c>
      <c r="L7" s="13"/>
    </row>
    <row r="8" ht="24" customHeight="1" spans="2:12">
      <c r="B8" s="14"/>
      <c r="C8" s="14" t="s">
        <v>16</v>
      </c>
      <c r="D8" s="14" t="s">
        <v>23</v>
      </c>
      <c r="E8" s="14" t="s">
        <v>24</v>
      </c>
      <c r="F8" s="15">
        <v>976.63</v>
      </c>
      <c r="G8" s="15"/>
      <c r="H8" s="15"/>
      <c r="I8" s="15"/>
      <c r="J8" s="15"/>
      <c r="K8" s="12">
        <f t="shared" si="0"/>
        <v>976.63</v>
      </c>
      <c r="L8" s="13"/>
    </row>
    <row r="9" ht="24" customHeight="1" spans="2:12">
      <c r="B9" s="11"/>
      <c r="C9" s="11" t="s">
        <v>16</v>
      </c>
      <c r="D9" s="11" t="s">
        <v>25</v>
      </c>
      <c r="E9" s="11" t="s">
        <v>26</v>
      </c>
      <c r="F9" s="12">
        <v>96.12</v>
      </c>
      <c r="G9" s="12"/>
      <c r="H9" s="12"/>
      <c r="I9" s="12"/>
      <c r="J9" s="12"/>
      <c r="K9" s="12">
        <f t="shared" si="0"/>
        <v>96.12</v>
      </c>
      <c r="L9" s="13"/>
    </row>
    <row r="10" ht="24" customHeight="1" spans="2:12">
      <c r="B10" s="14"/>
      <c r="C10" s="14" t="s">
        <v>16</v>
      </c>
      <c r="D10" s="14" t="s">
        <v>27</v>
      </c>
      <c r="E10" s="14" t="s">
        <v>28</v>
      </c>
      <c r="F10" s="15">
        <v>7856.22</v>
      </c>
      <c r="G10" s="15"/>
      <c r="H10" s="15"/>
      <c r="I10" s="15"/>
      <c r="J10" s="15"/>
      <c r="K10" s="12">
        <f t="shared" si="0"/>
        <v>7856.22</v>
      </c>
      <c r="L10" s="13"/>
    </row>
    <row r="11" ht="24" customHeight="1" spans="2:12">
      <c r="B11" s="11"/>
      <c r="C11" s="11" t="s">
        <v>16</v>
      </c>
      <c r="D11" s="11" t="s">
        <v>29</v>
      </c>
      <c r="E11" s="11" t="s">
        <v>30</v>
      </c>
      <c r="F11" s="12">
        <v>495.33</v>
      </c>
      <c r="G11" s="12"/>
      <c r="H11" s="12"/>
      <c r="I11" s="12"/>
      <c r="J11" s="12"/>
      <c r="K11" s="12">
        <f t="shared" si="0"/>
        <v>495.33</v>
      </c>
      <c r="L11" s="13"/>
    </row>
    <row r="12" ht="24" customHeight="1" spans="2:12">
      <c r="B12" s="14"/>
      <c r="C12" s="14" t="s">
        <v>16</v>
      </c>
      <c r="D12" s="14" t="s">
        <v>31</v>
      </c>
      <c r="E12" s="14" t="s">
        <v>32</v>
      </c>
      <c r="F12" s="15">
        <v>70168.98</v>
      </c>
      <c r="G12" s="15"/>
      <c r="H12" s="15"/>
      <c r="I12" s="15"/>
      <c r="J12" s="15"/>
      <c r="K12" s="12">
        <f t="shared" si="0"/>
        <v>70168.98</v>
      </c>
      <c r="L12" s="13"/>
    </row>
    <row r="13" ht="24" customHeight="1" spans="2:12">
      <c r="B13" s="11"/>
      <c r="C13" s="11" t="s">
        <v>16</v>
      </c>
      <c r="D13" s="11" t="s">
        <v>33</v>
      </c>
      <c r="E13" s="11" t="s">
        <v>34</v>
      </c>
      <c r="F13" s="12">
        <v>2103.41</v>
      </c>
      <c r="G13" s="12"/>
      <c r="H13" s="12"/>
      <c r="I13" s="12"/>
      <c r="J13" s="12"/>
      <c r="K13" s="12">
        <f t="shared" si="0"/>
        <v>2103.41</v>
      </c>
      <c r="L13" s="13"/>
    </row>
    <row r="14" ht="24" customHeight="1" spans="2:12">
      <c r="B14" s="14"/>
      <c r="C14" s="14" t="s">
        <v>16</v>
      </c>
      <c r="D14" s="14" t="s">
        <v>35</v>
      </c>
      <c r="E14" s="14" t="s">
        <v>36</v>
      </c>
      <c r="F14" s="15">
        <v>5990.29</v>
      </c>
      <c r="G14" s="15"/>
      <c r="H14" s="15"/>
      <c r="I14" s="15"/>
      <c r="J14" s="15"/>
      <c r="K14" s="12">
        <f t="shared" si="0"/>
        <v>5990.29</v>
      </c>
      <c r="L14" s="13"/>
    </row>
    <row r="15" ht="24" customHeight="1" spans="2:12">
      <c r="B15" s="11"/>
      <c r="C15" s="11" t="s">
        <v>16</v>
      </c>
      <c r="D15" s="11" t="s">
        <v>37</v>
      </c>
      <c r="E15" s="11" t="s">
        <v>38</v>
      </c>
      <c r="F15" s="12">
        <v>2280.17</v>
      </c>
      <c r="G15" s="12"/>
      <c r="H15" s="12"/>
      <c r="I15" s="12"/>
      <c r="J15" s="12"/>
      <c r="K15" s="12">
        <f t="shared" si="0"/>
        <v>2280.17</v>
      </c>
      <c r="L15" s="13"/>
    </row>
    <row r="16" ht="24" customHeight="1" spans="2:12">
      <c r="B16" s="14"/>
      <c r="C16" s="14" t="s">
        <v>16</v>
      </c>
      <c r="D16" s="14" t="s">
        <v>39</v>
      </c>
      <c r="E16" s="14" t="s">
        <v>40</v>
      </c>
      <c r="F16" s="15">
        <v>2771.32</v>
      </c>
      <c r="G16" s="15"/>
      <c r="H16" s="15"/>
      <c r="I16" s="15"/>
      <c r="J16" s="15"/>
      <c r="K16" s="12">
        <f t="shared" si="0"/>
        <v>2771.32</v>
      </c>
      <c r="L16" s="13"/>
    </row>
    <row r="17" ht="24" customHeight="1" spans="2:12">
      <c r="B17" s="11"/>
      <c r="C17" s="11" t="s">
        <v>16</v>
      </c>
      <c r="D17" s="11" t="s">
        <v>41</v>
      </c>
      <c r="E17" s="11" t="s">
        <v>42</v>
      </c>
      <c r="F17" s="12">
        <v>7021.96</v>
      </c>
      <c r="G17" s="12"/>
      <c r="H17" s="12"/>
      <c r="I17" s="12"/>
      <c r="J17" s="12"/>
      <c r="K17" s="12">
        <f t="shared" si="0"/>
        <v>7021.96</v>
      </c>
      <c r="L17" s="13"/>
    </row>
    <row r="18" ht="24" customHeight="1" spans="2:12">
      <c r="B18" s="14"/>
      <c r="C18" s="14" t="s">
        <v>16</v>
      </c>
      <c r="D18" s="14" t="s">
        <v>43</v>
      </c>
      <c r="E18" s="14" t="s">
        <v>44</v>
      </c>
      <c r="F18" s="15">
        <v>8982.14</v>
      </c>
      <c r="G18" s="15"/>
      <c r="H18" s="15"/>
      <c r="I18" s="15"/>
      <c r="J18" s="15"/>
      <c r="K18" s="12">
        <f t="shared" si="0"/>
        <v>8982.14</v>
      </c>
      <c r="L18" s="13"/>
    </row>
    <row r="19" ht="24" customHeight="1" spans="2:12">
      <c r="B19" s="11"/>
      <c r="C19" s="11" t="s">
        <v>16</v>
      </c>
      <c r="D19" s="11" t="s">
        <v>45</v>
      </c>
      <c r="E19" s="11" t="s">
        <v>46</v>
      </c>
      <c r="F19" s="12">
        <v>1540.23</v>
      </c>
      <c r="G19" s="12"/>
      <c r="H19" s="12"/>
      <c r="I19" s="12"/>
      <c r="J19" s="12"/>
      <c r="K19" s="12">
        <f t="shared" si="0"/>
        <v>1540.23</v>
      </c>
      <c r="L19" s="13"/>
    </row>
    <row r="20" ht="24" customHeight="1" spans="2:12">
      <c r="B20" s="14"/>
      <c r="C20" s="14" t="s">
        <v>16</v>
      </c>
      <c r="D20" s="14" t="s">
        <v>47</v>
      </c>
      <c r="E20" s="14" t="s">
        <v>48</v>
      </c>
      <c r="F20" s="15">
        <v>1169.95</v>
      </c>
      <c r="G20" s="15"/>
      <c r="H20" s="15"/>
      <c r="I20" s="15"/>
      <c r="J20" s="15"/>
      <c r="K20" s="12">
        <f t="shared" si="0"/>
        <v>1169.95</v>
      </c>
      <c r="L20" s="13"/>
    </row>
    <row r="21" ht="24" customHeight="1" spans="2:12">
      <c r="B21" s="11"/>
      <c r="C21" s="11" t="s">
        <v>16</v>
      </c>
      <c r="D21" s="11" t="s">
        <v>49</v>
      </c>
      <c r="E21" s="11" t="s">
        <v>50</v>
      </c>
      <c r="F21" s="12">
        <v>580.91</v>
      </c>
      <c r="G21" s="12"/>
      <c r="H21" s="12"/>
      <c r="I21" s="12"/>
      <c r="J21" s="12"/>
      <c r="K21" s="12">
        <f t="shared" si="0"/>
        <v>580.91</v>
      </c>
      <c r="L21" s="13"/>
    </row>
    <row r="22" ht="24" customHeight="1" spans="2:12">
      <c r="B22" s="14"/>
      <c r="C22" s="14" t="s">
        <v>16</v>
      </c>
      <c r="D22" s="14" t="s">
        <v>51</v>
      </c>
      <c r="E22" s="14" t="s">
        <v>52</v>
      </c>
      <c r="F22" s="15">
        <v>1450365.3</v>
      </c>
      <c r="G22" s="15"/>
      <c r="H22" s="15"/>
      <c r="I22" s="15"/>
      <c r="J22" s="15"/>
      <c r="K22" s="12">
        <f t="shared" si="0"/>
        <v>1450365.3</v>
      </c>
      <c r="L22" s="13" t="s">
        <v>53</v>
      </c>
    </row>
    <row r="23" ht="24" customHeight="1" spans="2:12">
      <c r="B23" s="11"/>
      <c r="C23" s="11" t="s">
        <v>16</v>
      </c>
      <c r="D23" s="11" t="s">
        <v>54</v>
      </c>
      <c r="E23" s="11" t="s">
        <v>55</v>
      </c>
      <c r="F23" s="12">
        <v>60</v>
      </c>
      <c r="G23" s="12"/>
      <c r="H23" s="12"/>
      <c r="I23" s="12"/>
      <c r="J23" s="12"/>
      <c r="K23" s="12">
        <f t="shared" si="0"/>
        <v>60</v>
      </c>
      <c r="L23" s="13"/>
    </row>
    <row r="24" ht="24" customHeight="1" spans="2:12">
      <c r="B24" s="14"/>
      <c r="C24" s="14" t="s">
        <v>16</v>
      </c>
      <c r="D24" s="14" t="s">
        <v>56</v>
      </c>
      <c r="E24" s="14" t="s">
        <v>57</v>
      </c>
      <c r="F24" s="15">
        <v>518.19</v>
      </c>
      <c r="G24" s="15"/>
      <c r="H24" s="15"/>
      <c r="I24" s="15"/>
      <c r="J24" s="15"/>
      <c r="K24" s="12">
        <f t="shared" si="0"/>
        <v>518.19</v>
      </c>
      <c r="L24" s="13"/>
    </row>
    <row r="25" ht="24" customHeight="1" spans="2:12">
      <c r="B25" s="11"/>
      <c r="C25" s="11" t="s">
        <v>16</v>
      </c>
      <c r="D25" s="11" t="s">
        <v>58</v>
      </c>
      <c r="E25" s="11" t="s">
        <v>59</v>
      </c>
      <c r="F25" s="12">
        <v>4486.58</v>
      </c>
      <c r="G25" s="12"/>
      <c r="H25" s="12"/>
      <c r="I25" s="12"/>
      <c r="J25" s="12"/>
      <c r="K25" s="12">
        <f t="shared" si="0"/>
        <v>4486.58</v>
      </c>
      <c r="L25" s="13"/>
    </row>
    <row r="26" ht="24" customHeight="1" spans="2:12">
      <c r="B26" s="14"/>
      <c r="C26" s="14" t="s">
        <v>16</v>
      </c>
      <c r="D26" s="14" t="s">
        <v>60</v>
      </c>
      <c r="E26" s="14" t="s">
        <v>61</v>
      </c>
      <c r="F26" s="15">
        <v>10000</v>
      </c>
      <c r="G26" s="15"/>
      <c r="H26" s="15"/>
      <c r="I26" s="15"/>
      <c r="J26" s="15"/>
      <c r="K26" s="12">
        <f t="shared" si="0"/>
        <v>10000</v>
      </c>
      <c r="L26" s="13"/>
    </row>
    <row r="27" ht="24" customHeight="1" spans="2:12">
      <c r="B27" s="11"/>
      <c r="C27" s="11" t="s">
        <v>16</v>
      </c>
      <c r="D27" s="11" t="s">
        <v>62</v>
      </c>
      <c r="E27" s="11" t="s">
        <v>63</v>
      </c>
      <c r="F27" s="12">
        <v>7237.27</v>
      </c>
      <c r="G27" s="12"/>
      <c r="H27" s="12"/>
      <c r="I27" s="12"/>
      <c r="J27" s="12"/>
      <c r="K27" s="12">
        <f t="shared" si="0"/>
        <v>7237.27</v>
      </c>
      <c r="L27" s="13"/>
    </row>
    <row r="28" ht="24" customHeight="1" spans="2:12">
      <c r="B28" s="14"/>
      <c r="C28" s="14" t="s">
        <v>16</v>
      </c>
      <c r="D28" s="14" t="s">
        <v>64</v>
      </c>
      <c r="E28" s="14" t="s">
        <v>65</v>
      </c>
      <c r="F28" s="15">
        <v>35.52</v>
      </c>
      <c r="G28" s="15"/>
      <c r="H28" s="15"/>
      <c r="I28" s="15"/>
      <c r="J28" s="15"/>
      <c r="K28" s="12">
        <f t="shared" si="0"/>
        <v>35.52</v>
      </c>
      <c r="L28" s="13"/>
    </row>
    <row r="29" ht="24" customHeight="1" spans="2:12">
      <c r="B29" s="11"/>
      <c r="C29" s="11" t="s">
        <v>16</v>
      </c>
      <c r="D29" s="11" t="s">
        <v>66</v>
      </c>
      <c r="E29" s="11" t="s">
        <v>67</v>
      </c>
      <c r="F29" s="12">
        <v>0</v>
      </c>
      <c r="G29" s="12"/>
      <c r="H29" s="12"/>
      <c r="I29" s="12"/>
      <c r="J29" s="12"/>
      <c r="K29" s="12">
        <f t="shared" si="0"/>
        <v>0</v>
      </c>
      <c r="L29" s="13"/>
    </row>
    <row r="30" ht="24" customHeight="1" spans="2:12">
      <c r="B30" s="14"/>
      <c r="C30" s="14" t="s">
        <v>16</v>
      </c>
      <c r="D30" s="14" t="s">
        <v>68</v>
      </c>
      <c r="E30" s="14" t="s">
        <v>69</v>
      </c>
      <c r="F30" s="15">
        <v>25101075</v>
      </c>
      <c r="G30" s="15"/>
      <c r="H30" s="15"/>
      <c r="I30" s="15"/>
      <c r="J30" s="15"/>
      <c r="K30" s="12">
        <f t="shared" si="0"/>
        <v>25101075</v>
      </c>
      <c r="L30" s="13"/>
    </row>
    <row r="31" ht="24" customHeight="1" spans="2:12">
      <c r="B31" s="11" t="s">
        <v>70</v>
      </c>
      <c r="C31" s="11" t="s">
        <v>16</v>
      </c>
      <c r="D31" s="11" t="s">
        <v>71</v>
      </c>
      <c r="E31" s="11" t="s">
        <v>72</v>
      </c>
      <c r="F31" s="12">
        <v>7732.1</v>
      </c>
      <c r="G31" s="12"/>
      <c r="H31" s="12"/>
      <c r="I31" s="12"/>
      <c r="J31" s="12"/>
      <c r="K31" s="12">
        <f t="shared" si="0"/>
        <v>7732.1</v>
      </c>
      <c r="L31" s="13"/>
    </row>
    <row r="32" ht="24" customHeight="1" spans="2:12">
      <c r="B32" s="14"/>
      <c r="C32" s="14" t="s">
        <v>16</v>
      </c>
      <c r="D32" s="14" t="s">
        <v>73</v>
      </c>
      <c r="E32" s="14" t="s">
        <v>74</v>
      </c>
      <c r="F32" s="15">
        <v>128.32</v>
      </c>
      <c r="G32" s="15"/>
      <c r="H32" s="15"/>
      <c r="I32" s="15"/>
      <c r="J32" s="15"/>
      <c r="K32" s="12">
        <f t="shared" si="0"/>
        <v>128.32</v>
      </c>
      <c r="L32" s="13"/>
    </row>
    <row r="33" ht="24" customHeight="1" spans="2:12">
      <c r="B33" s="11" t="s">
        <v>75</v>
      </c>
      <c r="C33" s="11" t="s">
        <v>16</v>
      </c>
      <c r="D33" s="11" t="s">
        <v>76</v>
      </c>
      <c r="E33" s="11" t="s">
        <v>77</v>
      </c>
      <c r="F33" s="12">
        <v>5788.66</v>
      </c>
      <c r="G33" s="12"/>
      <c r="H33" s="12"/>
      <c r="I33" s="12"/>
      <c r="J33" s="12"/>
      <c r="K33" s="12">
        <f t="shared" si="0"/>
        <v>5788.66</v>
      </c>
      <c r="L33" s="13"/>
    </row>
    <row r="34" ht="24" customHeight="1" spans="2:12">
      <c r="B34" s="14" t="s">
        <v>78</v>
      </c>
      <c r="C34" s="14" t="s">
        <v>16</v>
      </c>
      <c r="D34" s="14" t="s">
        <v>79</v>
      </c>
      <c r="E34" s="14" t="s">
        <v>80</v>
      </c>
      <c r="F34" s="15">
        <v>16946.21</v>
      </c>
      <c r="G34" s="15"/>
      <c r="H34" s="15"/>
      <c r="I34" s="15"/>
      <c r="J34" s="15"/>
      <c r="K34" s="12">
        <f t="shared" si="0"/>
        <v>16946.21</v>
      </c>
      <c r="L34" s="13"/>
    </row>
    <row r="35" ht="25.5" customHeight="1" spans="2:12">
      <c r="B35" s="16" t="s">
        <v>81</v>
      </c>
      <c r="C35" s="16" t="s">
        <v>16</v>
      </c>
      <c r="D35" s="11" t="s">
        <v>17</v>
      </c>
      <c r="E35" s="11" t="s">
        <v>82</v>
      </c>
      <c r="F35" s="17">
        <v>1533.34</v>
      </c>
      <c r="G35" s="17"/>
      <c r="H35" s="17"/>
      <c r="I35" s="17"/>
      <c r="J35" s="17"/>
      <c r="K35" s="12">
        <f t="shared" si="0"/>
        <v>1533.34</v>
      </c>
      <c r="L35" s="13"/>
    </row>
    <row r="36" ht="25.5" customHeight="1" spans="2:12">
      <c r="B36" s="16" t="s">
        <v>83</v>
      </c>
      <c r="C36" s="16" t="s">
        <v>16</v>
      </c>
      <c r="D36" s="11" t="s">
        <v>84</v>
      </c>
      <c r="E36" s="11" t="s">
        <v>85</v>
      </c>
      <c r="F36" s="17">
        <v>4816.81</v>
      </c>
      <c r="G36" s="17"/>
      <c r="H36" s="17"/>
      <c r="I36" s="17"/>
      <c r="J36" s="17"/>
      <c r="K36" s="12">
        <f t="shared" si="0"/>
        <v>4816.81</v>
      </c>
      <c r="L36" s="13"/>
    </row>
    <row r="37" ht="24" customHeight="1" spans="2:12">
      <c r="B37" s="11" t="s">
        <v>86</v>
      </c>
      <c r="C37" s="11" t="s">
        <v>16</v>
      </c>
      <c r="D37" s="11" t="s">
        <v>84</v>
      </c>
      <c r="E37" s="11" t="s">
        <v>87</v>
      </c>
      <c r="F37" s="12">
        <v>12722.27</v>
      </c>
      <c r="G37" s="12"/>
      <c r="H37" s="12"/>
      <c r="I37" s="12"/>
      <c r="J37" s="12"/>
      <c r="K37" s="12">
        <f t="shared" si="0"/>
        <v>12722.27</v>
      </c>
      <c r="L37" s="13"/>
    </row>
    <row r="38" ht="25.5" customHeight="1" spans="2:12">
      <c r="B38" s="16" t="s">
        <v>88</v>
      </c>
      <c r="C38" s="16" t="s">
        <v>16</v>
      </c>
      <c r="D38" s="11" t="s">
        <v>84</v>
      </c>
      <c r="E38" s="11" t="s">
        <v>89</v>
      </c>
      <c r="F38" s="17">
        <v>6003.8</v>
      </c>
      <c r="G38" s="17"/>
      <c r="H38" s="17"/>
      <c r="I38" s="17"/>
      <c r="J38" s="17"/>
      <c r="K38" s="12">
        <f t="shared" si="0"/>
        <v>6003.8</v>
      </c>
      <c r="L38" s="13"/>
    </row>
    <row r="39" ht="24" customHeight="1" spans="2:12">
      <c r="B39" s="11" t="s">
        <v>90</v>
      </c>
      <c r="C39" s="11" t="s">
        <v>16</v>
      </c>
      <c r="D39" s="11" t="s">
        <v>84</v>
      </c>
      <c r="E39" s="11" t="s">
        <v>91</v>
      </c>
      <c r="F39" s="12">
        <v>996.96</v>
      </c>
      <c r="G39" s="12"/>
      <c r="H39" s="12"/>
      <c r="I39" s="12"/>
      <c r="J39" s="12"/>
      <c r="K39" s="12">
        <f t="shared" si="0"/>
        <v>996.96</v>
      </c>
      <c r="L39" s="13"/>
    </row>
    <row r="40" ht="25.5" customHeight="1" spans="2:12">
      <c r="B40" s="11" t="s">
        <v>90</v>
      </c>
      <c r="C40" s="16" t="s">
        <v>16</v>
      </c>
      <c r="D40" s="11" t="s">
        <v>92</v>
      </c>
      <c r="E40" s="11" t="s">
        <v>93</v>
      </c>
      <c r="F40" s="17">
        <v>5008.39</v>
      </c>
      <c r="G40" s="17"/>
      <c r="H40" s="17"/>
      <c r="I40" s="17"/>
      <c r="J40" s="17"/>
      <c r="K40" s="12">
        <f t="shared" si="0"/>
        <v>5008.39</v>
      </c>
      <c r="L40" s="13"/>
    </row>
    <row r="41" ht="25.5" customHeight="1" spans="2:12">
      <c r="B41" s="16" t="s">
        <v>94</v>
      </c>
      <c r="C41" s="16" t="s">
        <v>16</v>
      </c>
      <c r="D41" s="11" t="s">
        <v>95</v>
      </c>
      <c r="E41" s="11" t="s">
        <v>96</v>
      </c>
      <c r="F41" s="17">
        <v>520.26</v>
      </c>
      <c r="G41" s="17"/>
      <c r="H41" s="17"/>
      <c r="I41" s="17"/>
      <c r="J41" s="17"/>
      <c r="K41" s="12">
        <f t="shared" si="0"/>
        <v>520.26</v>
      </c>
      <c r="L41" s="13"/>
    </row>
    <row r="42" ht="24" customHeight="1" spans="2:12">
      <c r="B42" s="11" t="s">
        <v>97</v>
      </c>
      <c r="C42" s="11" t="s">
        <v>16</v>
      </c>
      <c r="D42" s="11" t="s">
        <v>17</v>
      </c>
      <c r="E42" s="11" t="s">
        <v>98</v>
      </c>
      <c r="F42" s="12">
        <v>0</v>
      </c>
      <c r="G42" s="12"/>
      <c r="H42" s="12"/>
      <c r="I42" s="12"/>
      <c r="J42" s="12"/>
      <c r="K42" s="12">
        <f t="shared" si="0"/>
        <v>0</v>
      </c>
      <c r="L42" s="13"/>
    </row>
    <row r="43" ht="24" customHeight="1" spans="2:12">
      <c r="B43" s="11" t="s">
        <v>99</v>
      </c>
      <c r="C43" s="11" t="s">
        <v>16</v>
      </c>
      <c r="D43" s="11" t="s">
        <v>100</v>
      </c>
      <c r="E43" s="11" t="s">
        <v>101</v>
      </c>
      <c r="F43" s="12">
        <v>1143.74</v>
      </c>
      <c r="G43" s="12"/>
      <c r="H43" s="12"/>
      <c r="I43" s="12"/>
      <c r="J43" s="12"/>
      <c r="K43" s="12">
        <f t="shared" si="0"/>
        <v>1143.74</v>
      </c>
      <c r="L43" s="13"/>
    </row>
    <row r="44" ht="24" customHeight="1" spans="2:12">
      <c r="B44" s="14" t="s">
        <v>102</v>
      </c>
      <c r="C44" s="14" t="s">
        <v>16</v>
      </c>
      <c r="D44" s="14" t="s">
        <v>95</v>
      </c>
      <c r="E44" s="14" t="s">
        <v>103</v>
      </c>
      <c r="F44" s="15">
        <v>4950.9</v>
      </c>
      <c r="G44" s="15"/>
      <c r="H44" s="15"/>
      <c r="I44" s="15"/>
      <c r="J44" s="15"/>
      <c r="K44" s="12">
        <f t="shared" si="0"/>
        <v>4950.9</v>
      </c>
      <c r="L44" s="13"/>
    </row>
    <row r="45" ht="25.5" customHeight="1" spans="2:12">
      <c r="B45" s="18" t="s">
        <v>102</v>
      </c>
      <c r="C45" s="16" t="s">
        <v>16</v>
      </c>
      <c r="D45" s="11" t="s">
        <v>31</v>
      </c>
      <c r="E45" s="11" t="s">
        <v>104</v>
      </c>
      <c r="F45" s="17">
        <v>2849.26</v>
      </c>
      <c r="G45" s="17"/>
      <c r="H45" s="17"/>
      <c r="I45" s="17"/>
      <c r="J45" s="17"/>
      <c r="K45" s="12">
        <f t="shared" si="0"/>
        <v>2849.26</v>
      </c>
      <c r="L45" s="13"/>
    </row>
    <row r="46" ht="24" customHeight="1" spans="2:12">
      <c r="B46" s="14" t="s">
        <v>105</v>
      </c>
      <c r="C46" s="14" t="s">
        <v>16</v>
      </c>
      <c r="D46" s="14" t="s">
        <v>95</v>
      </c>
      <c r="E46" s="14" t="s">
        <v>106</v>
      </c>
      <c r="F46" s="15">
        <v>4769.08</v>
      </c>
      <c r="G46" s="15"/>
      <c r="H46" s="15"/>
      <c r="I46" s="15"/>
      <c r="J46" s="15"/>
      <c r="K46" s="12">
        <f t="shared" si="0"/>
        <v>4769.08</v>
      </c>
      <c r="L46" s="13"/>
    </row>
    <row r="47" ht="24" customHeight="1" spans="2:12">
      <c r="B47" s="11" t="s">
        <v>107</v>
      </c>
      <c r="C47" s="11" t="s">
        <v>16</v>
      </c>
      <c r="D47" s="11" t="s">
        <v>95</v>
      </c>
      <c r="E47" s="11" t="s">
        <v>108</v>
      </c>
      <c r="F47" s="12">
        <v>9548.95</v>
      </c>
      <c r="G47" s="12"/>
      <c r="H47" s="12"/>
      <c r="I47" s="12"/>
      <c r="J47" s="12"/>
      <c r="K47" s="12">
        <f t="shared" si="0"/>
        <v>9548.95</v>
      </c>
      <c r="L47" s="13"/>
    </row>
    <row r="48" ht="24" customHeight="1" spans="2:12">
      <c r="B48" s="14" t="s">
        <v>109</v>
      </c>
      <c r="C48" s="14" t="s">
        <v>16</v>
      </c>
      <c r="D48" s="14" t="s">
        <v>95</v>
      </c>
      <c r="E48" s="14" t="s">
        <v>110</v>
      </c>
      <c r="F48" s="15">
        <v>9507.22</v>
      </c>
      <c r="G48" s="15"/>
      <c r="H48" s="15"/>
      <c r="I48" s="15"/>
      <c r="J48" s="15"/>
      <c r="K48" s="12">
        <f t="shared" si="0"/>
        <v>9507.22</v>
      </c>
      <c r="L48" s="13"/>
    </row>
    <row r="49" ht="24" customHeight="1" spans="2:12">
      <c r="B49" s="19"/>
      <c r="C49" s="20"/>
      <c r="D49" s="21" t="s">
        <v>111</v>
      </c>
      <c r="E49" s="22"/>
      <c r="F49" s="23">
        <f t="shared" ref="F49:K49" si="1">SUM(F5:F48)</f>
        <v>35812528.23</v>
      </c>
      <c r="G49" s="23">
        <f t="shared" si="1"/>
        <v>0</v>
      </c>
      <c r="H49" s="23">
        <f t="shared" si="1"/>
        <v>0</v>
      </c>
      <c r="I49" s="23">
        <f t="shared" si="1"/>
        <v>0</v>
      </c>
      <c r="J49" s="23">
        <f t="shared" si="1"/>
        <v>0</v>
      </c>
      <c r="K49" s="23">
        <f t="shared" si="1"/>
        <v>35812528.23</v>
      </c>
      <c r="L49" s="22"/>
    </row>
    <row r="50" ht="24" customHeight="1" spans="2:12">
      <c r="B50" s="11"/>
      <c r="C50" s="11" t="s">
        <v>112</v>
      </c>
      <c r="D50" s="11" t="s">
        <v>112</v>
      </c>
      <c r="E50" s="11" t="s">
        <v>113</v>
      </c>
      <c r="F50" s="12">
        <v>1024479.06</v>
      </c>
      <c r="G50" s="12"/>
      <c r="H50" s="12"/>
      <c r="I50" s="12"/>
      <c r="J50" s="12"/>
      <c r="K50" s="12">
        <f>F50+H50-J50</f>
        <v>1024479.06</v>
      </c>
      <c r="L50" s="13"/>
    </row>
    <row r="51" ht="24" customHeight="1" spans="2:12">
      <c r="B51" s="14"/>
      <c r="C51" s="14" t="s">
        <v>112</v>
      </c>
      <c r="D51" s="14" t="s">
        <v>114</v>
      </c>
      <c r="E51" s="14" t="s">
        <v>115</v>
      </c>
      <c r="F51" s="15">
        <v>1225.5</v>
      </c>
      <c r="G51" s="15"/>
      <c r="H51" s="15"/>
      <c r="I51" s="15"/>
      <c r="J51" s="15"/>
      <c r="K51" s="12">
        <f>F51+H51-J51</f>
        <v>1225.5</v>
      </c>
      <c r="L51" s="13"/>
    </row>
    <row r="52" ht="25.5" customHeight="1" spans="2:12">
      <c r="B52" s="16"/>
      <c r="C52" s="16" t="s">
        <v>112</v>
      </c>
      <c r="D52" s="11" t="s">
        <v>112</v>
      </c>
      <c r="E52" s="11" t="s">
        <v>116</v>
      </c>
      <c r="F52" s="17">
        <v>129500</v>
      </c>
      <c r="G52" s="17"/>
      <c r="H52" s="17"/>
      <c r="I52" s="17"/>
      <c r="J52" s="17"/>
      <c r="K52" s="12">
        <f>F52+H52-J52</f>
        <v>129500</v>
      </c>
      <c r="L52" s="13"/>
    </row>
    <row r="53" ht="24" customHeight="1" spans="2:12">
      <c r="B53" s="14"/>
      <c r="C53" s="14" t="s">
        <v>112</v>
      </c>
      <c r="D53" s="14" t="s">
        <v>117</v>
      </c>
      <c r="E53" s="14" t="s">
        <v>118</v>
      </c>
      <c r="F53" s="15">
        <v>3.4</v>
      </c>
      <c r="G53" s="15"/>
      <c r="H53" s="15"/>
      <c r="I53" s="15"/>
      <c r="J53" s="15"/>
      <c r="K53" s="12">
        <f>F53+H53-J53</f>
        <v>3.4</v>
      </c>
      <c r="L53" s="13"/>
    </row>
    <row r="54" ht="24" customHeight="1" spans="2:12">
      <c r="B54" s="19"/>
      <c r="C54" s="20"/>
      <c r="D54" s="21" t="s">
        <v>119</v>
      </c>
      <c r="E54" s="22"/>
      <c r="F54" s="23">
        <f t="shared" ref="F54:K54" si="2">SUM(F50:F53)</f>
        <v>1155207.96</v>
      </c>
      <c r="G54" s="23">
        <f t="shared" si="2"/>
        <v>0</v>
      </c>
      <c r="H54" s="23">
        <f t="shared" si="2"/>
        <v>0</v>
      </c>
      <c r="I54" s="23">
        <f t="shared" si="2"/>
        <v>0</v>
      </c>
      <c r="J54" s="23">
        <f t="shared" si="2"/>
        <v>0</v>
      </c>
      <c r="K54" s="23">
        <f t="shared" si="2"/>
        <v>1155207.96</v>
      </c>
      <c r="L54" s="22"/>
    </row>
    <row r="55" ht="24" customHeight="1" spans="2:12">
      <c r="B55" s="14"/>
      <c r="C55" s="14" t="s">
        <v>120</v>
      </c>
      <c r="D55" s="14" t="s">
        <v>120</v>
      </c>
      <c r="E55" s="14" t="s">
        <v>121</v>
      </c>
      <c r="F55" s="15">
        <v>2200005</v>
      </c>
      <c r="G55" s="15"/>
      <c r="H55" s="15"/>
      <c r="I55" s="15"/>
      <c r="J55" s="15"/>
      <c r="K55" s="15">
        <f>F55+H55-J55</f>
        <v>2200005</v>
      </c>
      <c r="L55" s="13"/>
    </row>
    <row r="56" ht="25.5" customHeight="1" spans="2:12">
      <c r="B56" s="19"/>
      <c r="C56" s="20"/>
      <c r="D56" s="21" t="s">
        <v>122</v>
      </c>
      <c r="E56" s="22"/>
      <c r="F56" s="23">
        <f t="shared" ref="F56:K56" si="3">SUM(F55:F55)</f>
        <v>2200005</v>
      </c>
      <c r="G56" s="23">
        <f t="shared" si="3"/>
        <v>0</v>
      </c>
      <c r="H56" s="23">
        <f t="shared" si="3"/>
        <v>0</v>
      </c>
      <c r="I56" s="23">
        <f t="shared" si="3"/>
        <v>0</v>
      </c>
      <c r="J56" s="23">
        <f t="shared" si="3"/>
        <v>0</v>
      </c>
      <c r="K56" s="23">
        <f t="shared" si="3"/>
        <v>2200005</v>
      </c>
      <c r="L56" s="22"/>
    </row>
    <row r="57" ht="24" customHeight="1" spans="2:12">
      <c r="B57" s="24"/>
      <c r="C57" s="25"/>
      <c r="D57" s="26" t="s">
        <v>123</v>
      </c>
      <c r="E57" s="27"/>
      <c r="F57" s="28">
        <f t="shared" ref="F57:K57" si="4">F49+F54+F56</f>
        <v>39167741.19</v>
      </c>
      <c r="G57" s="28">
        <f t="shared" si="4"/>
        <v>0</v>
      </c>
      <c r="H57" s="28">
        <f t="shared" si="4"/>
        <v>0</v>
      </c>
      <c r="I57" s="28">
        <f t="shared" si="4"/>
        <v>0</v>
      </c>
      <c r="J57" s="28">
        <f t="shared" si="4"/>
        <v>0</v>
      </c>
      <c r="K57" s="28">
        <f t="shared" si="4"/>
        <v>39167741.19</v>
      </c>
      <c r="L57" s="27"/>
    </row>
    <row r="58" ht="24" customHeight="1" spans="2:12">
      <c r="B58" s="11" t="s">
        <v>15</v>
      </c>
      <c r="C58" s="11" t="s">
        <v>16</v>
      </c>
      <c r="D58" s="11" t="s">
        <v>124</v>
      </c>
      <c r="E58" s="11" t="s">
        <v>125</v>
      </c>
      <c r="F58" s="12">
        <v>153913.74</v>
      </c>
      <c r="G58" s="12"/>
      <c r="H58" s="12"/>
      <c r="I58" s="12"/>
      <c r="J58" s="12"/>
      <c r="K58" s="12">
        <f>F58+H58-J58</f>
        <v>153913.74</v>
      </c>
      <c r="L58" s="13" t="s">
        <v>126</v>
      </c>
    </row>
    <row r="59" ht="24" customHeight="1" spans="2:12">
      <c r="B59" s="19"/>
      <c r="C59" s="20"/>
      <c r="D59" s="29" t="s">
        <v>111</v>
      </c>
      <c r="E59" s="22"/>
      <c r="F59" s="23">
        <f t="shared" ref="F59:K59" si="5">SUM(F58:F58)</f>
        <v>153913.74</v>
      </c>
      <c r="G59" s="23">
        <f t="shared" si="5"/>
        <v>0</v>
      </c>
      <c r="H59" s="23">
        <f t="shared" si="5"/>
        <v>0</v>
      </c>
      <c r="I59" s="23">
        <f t="shared" si="5"/>
        <v>0</v>
      </c>
      <c r="J59" s="23">
        <f t="shared" si="5"/>
        <v>0</v>
      </c>
      <c r="K59" s="23">
        <f t="shared" si="5"/>
        <v>153913.74</v>
      </c>
      <c r="L59" s="22"/>
    </row>
    <row r="60" ht="24" customHeight="1" spans="2:12">
      <c r="B60" s="24"/>
      <c r="C60" s="30"/>
      <c r="D60" s="31" t="s">
        <v>127</v>
      </c>
      <c r="E60" s="27"/>
      <c r="F60" s="28">
        <f t="shared" ref="F60:K60" si="6">F59</f>
        <v>153913.74</v>
      </c>
      <c r="G60" s="28">
        <f t="shared" si="6"/>
        <v>0</v>
      </c>
      <c r="H60" s="28">
        <f t="shared" si="6"/>
        <v>0</v>
      </c>
      <c r="I60" s="28">
        <f t="shared" si="6"/>
        <v>0</v>
      </c>
      <c r="J60" s="28">
        <f t="shared" si="6"/>
        <v>0</v>
      </c>
      <c r="K60" s="28">
        <f t="shared" si="6"/>
        <v>153913.74</v>
      </c>
      <c r="L60" s="27"/>
    </row>
    <row r="61" ht="24" customHeight="1" spans="2:12">
      <c r="B61" s="11" t="s">
        <v>128</v>
      </c>
      <c r="C61" s="11" t="s">
        <v>16</v>
      </c>
      <c r="D61" s="11" t="s">
        <v>35</v>
      </c>
      <c r="E61" s="11" t="s">
        <v>129</v>
      </c>
      <c r="F61" s="12">
        <v>204222.16</v>
      </c>
      <c r="G61" s="12"/>
      <c r="H61" s="12"/>
      <c r="I61" s="12"/>
      <c r="J61" s="12"/>
      <c r="K61" s="12">
        <f t="shared" ref="K61:K66" si="7">F61+H61-J61</f>
        <v>204222.16</v>
      </c>
      <c r="L61" s="13"/>
    </row>
    <row r="62" ht="24" customHeight="1" spans="2:12">
      <c r="B62" s="14"/>
      <c r="C62" s="14" t="s">
        <v>16</v>
      </c>
      <c r="D62" s="14" t="s">
        <v>130</v>
      </c>
      <c r="E62" s="14" t="s">
        <v>131</v>
      </c>
      <c r="F62" s="15">
        <v>1128359.07</v>
      </c>
      <c r="G62" s="15"/>
      <c r="H62" s="15"/>
      <c r="I62" s="15"/>
      <c r="J62" s="15"/>
      <c r="K62" s="12">
        <f t="shared" si="7"/>
        <v>1128359.07</v>
      </c>
      <c r="L62" s="13"/>
    </row>
    <row r="63" ht="25.5" customHeight="1" spans="2:12">
      <c r="B63" s="16"/>
      <c r="C63" s="16" t="s">
        <v>16</v>
      </c>
      <c r="D63" s="11" t="s">
        <v>54</v>
      </c>
      <c r="E63" s="11" t="s">
        <v>132</v>
      </c>
      <c r="F63" s="17">
        <v>36806.56</v>
      </c>
      <c r="G63" s="17"/>
      <c r="H63" s="17"/>
      <c r="I63" s="17"/>
      <c r="J63" s="17"/>
      <c r="K63" s="12">
        <f t="shared" si="7"/>
        <v>36806.56</v>
      </c>
      <c r="L63" s="13"/>
    </row>
    <row r="64" ht="24" customHeight="1" spans="2:12">
      <c r="B64" s="14"/>
      <c r="C64" s="14" t="s">
        <v>16</v>
      </c>
      <c r="D64" s="14" t="s">
        <v>133</v>
      </c>
      <c r="E64" s="14" t="s">
        <v>134</v>
      </c>
      <c r="F64" s="15">
        <v>2214.35</v>
      </c>
      <c r="G64" s="15"/>
      <c r="H64" s="15"/>
      <c r="I64" s="15"/>
      <c r="J64" s="15"/>
      <c r="K64" s="12">
        <f t="shared" si="7"/>
        <v>2214.35</v>
      </c>
      <c r="L64" s="13" t="s">
        <v>135</v>
      </c>
    </row>
    <row r="65" ht="24" customHeight="1" spans="2:12">
      <c r="B65" s="11"/>
      <c r="C65" s="11" t="s">
        <v>16</v>
      </c>
      <c r="D65" s="11" t="s">
        <v>136</v>
      </c>
      <c r="E65" s="11" t="s">
        <v>137</v>
      </c>
      <c r="F65" s="12">
        <v>0</v>
      </c>
      <c r="G65" s="12"/>
      <c r="H65" s="12"/>
      <c r="I65" s="12"/>
      <c r="J65" s="12"/>
      <c r="K65" s="12">
        <f t="shared" si="7"/>
        <v>0</v>
      </c>
      <c r="L65" s="13" t="s">
        <v>138</v>
      </c>
    </row>
    <row r="66" ht="24" customHeight="1" spans="2:12">
      <c r="B66" s="14"/>
      <c r="C66" s="14" t="s">
        <v>16</v>
      </c>
      <c r="D66" s="14" t="s">
        <v>139</v>
      </c>
      <c r="E66" s="14" t="s">
        <v>140</v>
      </c>
      <c r="F66" s="15">
        <v>6362.98</v>
      </c>
      <c r="G66" s="15"/>
      <c r="H66" s="15"/>
      <c r="I66" s="15"/>
      <c r="J66" s="15"/>
      <c r="K66" s="12">
        <f t="shared" si="7"/>
        <v>6362.98</v>
      </c>
      <c r="L66" s="13" t="s">
        <v>141</v>
      </c>
    </row>
    <row r="67" ht="24" customHeight="1" spans="2:12">
      <c r="B67" s="19"/>
      <c r="C67" s="20"/>
      <c r="D67" s="21" t="s">
        <v>111</v>
      </c>
      <c r="E67" s="22"/>
      <c r="F67" s="23">
        <f t="shared" ref="F67:K67" si="8">SUM(F61:F66)</f>
        <v>1377965.12</v>
      </c>
      <c r="G67" s="23">
        <f t="shared" si="8"/>
        <v>0</v>
      </c>
      <c r="H67" s="23">
        <f t="shared" si="8"/>
        <v>0</v>
      </c>
      <c r="I67" s="23">
        <f t="shared" si="8"/>
        <v>0</v>
      </c>
      <c r="J67" s="23">
        <f t="shared" si="8"/>
        <v>0</v>
      </c>
      <c r="K67" s="23">
        <f t="shared" si="8"/>
        <v>1377965.12</v>
      </c>
      <c r="L67" s="22"/>
    </row>
    <row r="68" ht="25.5" customHeight="1" spans="2:12">
      <c r="B68" s="16"/>
      <c r="C68" s="16" t="s">
        <v>120</v>
      </c>
      <c r="D68" s="32" t="s">
        <v>120</v>
      </c>
      <c r="E68" s="32" t="s">
        <v>142</v>
      </c>
      <c r="F68" s="17">
        <v>0</v>
      </c>
      <c r="G68" s="17"/>
      <c r="H68" s="17"/>
      <c r="I68" s="17"/>
      <c r="J68" s="17"/>
      <c r="K68" s="17">
        <f>F68+H68-J68</f>
        <v>0</v>
      </c>
      <c r="L68" s="13"/>
    </row>
    <row r="69" ht="24" customHeight="1" spans="2:12">
      <c r="B69" s="19"/>
      <c r="C69" s="20"/>
      <c r="D69" s="21" t="s">
        <v>122</v>
      </c>
      <c r="E69" s="22"/>
      <c r="F69" s="23">
        <f t="shared" ref="F69:K69" si="9">SUM(F68:F68)</f>
        <v>0</v>
      </c>
      <c r="G69" s="23">
        <f t="shared" si="9"/>
        <v>0</v>
      </c>
      <c r="H69" s="23">
        <f t="shared" si="9"/>
        <v>0</v>
      </c>
      <c r="I69" s="23">
        <f t="shared" si="9"/>
        <v>0</v>
      </c>
      <c r="J69" s="23">
        <f t="shared" si="9"/>
        <v>0</v>
      </c>
      <c r="K69" s="23">
        <f t="shared" si="9"/>
        <v>0</v>
      </c>
      <c r="L69" s="22"/>
    </row>
    <row r="70" ht="25.5" customHeight="1" spans="2:12">
      <c r="B70" s="24"/>
      <c r="C70" s="25"/>
      <c r="D70" s="26" t="s">
        <v>143</v>
      </c>
      <c r="E70" s="27"/>
      <c r="F70" s="28">
        <f t="shared" ref="F70:K70" si="10">F67+F69</f>
        <v>1377965.12</v>
      </c>
      <c r="G70" s="28">
        <f t="shared" si="10"/>
        <v>0</v>
      </c>
      <c r="H70" s="28">
        <f t="shared" si="10"/>
        <v>0</v>
      </c>
      <c r="I70" s="28">
        <f t="shared" si="10"/>
        <v>0</v>
      </c>
      <c r="J70" s="28">
        <f t="shared" si="10"/>
        <v>0</v>
      </c>
      <c r="K70" s="28">
        <f t="shared" si="10"/>
        <v>1377965.12</v>
      </c>
      <c r="L70" s="27"/>
    </row>
    <row r="71" ht="24" customHeight="1" spans="2:12">
      <c r="B71" s="11" t="s">
        <v>144</v>
      </c>
      <c r="C71" s="11" t="s">
        <v>16</v>
      </c>
      <c r="D71" s="11" t="s">
        <v>130</v>
      </c>
      <c r="E71" s="11" t="s">
        <v>145</v>
      </c>
      <c r="F71" s="12">
        <v>2091720.16</v>
      </c>
      <c r="G71" s="12"/>
      <c r="H71" s="12"/>
      <c r="I71" s="12"/>
      <c r="J71" s="12"/>
      <c r="K71" s="12">
        <f>F71+H71-J71</f>
        <v>2091720.16</v>
      </c>
      <c r="L71" s="13" t="s">
        <v>146</v>
      </c>
    </row>
    <row r="72" ht="24" customHeight="1" spans="2:12">
      <c r="B72" s="14"/>
      <c r="C72" s="14" t="s">
        <v>16</v>
      </c>
      <c r="D72" s="14" t="s">
        <v>147</v>
      </c>
      <c r="E72" s="14" t="s">
        <v>148</v>
      </c>
      <c r="F72" s="15">
        <v>301000</v>
      </c>
      <c r="G72" s="15"/>
      <c r="H72" s="15"/>
      <c r="I72" s="15"/>
      <c r="J72" s="15"/>
      <c r="K72" s="12">
        <f>F72+H72-J72</f>
        <v>301000</v>
      </c>
      <c r="L72" s="13"/>
    </row>
    <row r="73" ht="25.5" customHeight="1" spans="2:12">
      <c r="B73" s="19"/>
      <c r="C73" s="20"/>
      <c r="D73" s="21" t="s">
        <v>111</v>
      </c>
      <c r="E73" s="22"/>
      <c r="F73" s="23">
        <f t="shared" ref="F73:K73" si="11">SUM(F71:F72)</f>
        <v>2392720.16</v>
      </c>
      <c r="G73" s="23">
        <f t="shared" si="11"/>
        <v>0</v>
      </c>
      <c r="H73" s="23">
        <f t="shared" si="11"/>
        <v>0</v>
      </c>
      <c r="I73" s="23">
        <f t="shared" si="11"/>
        <v>0</v>
      </c>
      <c r="J73" s="23">
        <f t="shared" si="11"/>
        <v>0</v>
      </c>
      <c r="K73" s="23">
        <f t="shared" si="11"/>
        <v>2392720.16</v>
      </c>
      <c r="L73" s="22"/>
    </row>
    <row r="74" ht="24" customHeight="1" spans="2:12">
      <c r="B74" s="11"/>
      <c r="C74" s="11" t="s">
        <v>120</v>
      </c>
      <c r="D74" s="11" t="s">
        <v>120</v>
      </c>
      <c r="E74" s="11" t="s">
        <v>149</v>
      </c>
      <c r="F74" s="12">
        <v>0</v>
      </c>
      <c r="G74" s="12"/>
      <c r="H74" s="12"/>
      <c r="I74" s="12"/>
      <c r="J74" s="12"/>
      <c r="K74" s="12">
        <f>F74+H74-J74</f>
        <v>0</v>
      </c>
      <c r="L74" s="13"/>
    </row>
    <row r="75" ht="24" customHeight="1" spans="2:12">
      <c r="B75" s="19"/>
      <c r="C75" s="20"/>
      <c r="D75" s="21" t="s">
        <v>122</v>
      </c>
      <c r="E75" s="22"/>
      <c r="F75" s="23">
        <f t="shared" ref="F75:K75" si="12">SUM(F74:F74)</f>
        <v>0</v>
      </c>
      <c r="G75" s="23">
        <f t="shared" si="12"/>
        <v>0</v>
      </c>
      <c r="H75" s="23">
        <f t="shared" si="12"/>
        <v>0</v>
      </c>
      <c r="I75" s="23">
        <f t="shared" si="12"/>
        <v>0</v>
      </c>
      <c r="J75" s="23">
        <f t="shared" si="12"/>
        <v>0</v>
      </c>
      <c r="K75" s="23">
        <f t="shared" si="12"/>
        <v>0</v>
      </c>
      <c r="L75" s="22"/>
    </row>
    <row r="76" ht="24" customHeight="1" spans="2:12">
      <c r="B76" s="24"/>
      <c r="C76" s="25"/>
      <c r="D76" s="26" t="s">
        <v>150</v>
      </c>
      <c r="E76" s="27"/>
      <c r="F76" s="28">
        <f t="shared" ref="F76:K76" si="13">F73+F75</f>
        <v>2392720.16</v>
      </c>
      <c r="G76" s="28">
        <f t="shared" si="13"/>
        <v>0</v>
      </c>
      <c r="H76" s="28">
        <f t="shared" si="13"/>
        <v>0</v>
      </c>
      <c r="I76" s="28">
        <f t="shared" si="13"/>
        <v>0</v>
      </c>
      <c r="J76" s="28">
        <f t="shared" si="13"/>
        <v>0</v>
      </c>
      <c r="K76" s="28">
        <f t="shared" si="13"/>
        <v>2392720.16</v>
      </c>
      <c r="L76" s="27"/>
    </row>
    <row r="77" ht="24" customHeight="1" spans="2:12">
      <c r="B77" s="11" t="s">
        <v>151</v>
      </c>
      <c r="C77" s="11" t="s">
        <v>16</v>
      </c>
      <c r="D77" s="11" t="s">
        <v>130</v>
      </c>
      <c r="E77" s="11" t="s">
        <v>152</v>
      </c>
      <c r="F77" s="12">
        <v>27571.74</v>
      </c>
      <c r="G77" s="12"/>
      <c r="H77" s="12"/>
      <c r="I77" s="12"/>
      <c r="J77" s="12"/>
      <c r="K77" s="12">
        <f>F77+H77-J77</f>
        <v>27571.74</v>
      </c>
      <c r="L77" s="13"/>
    </row>
    <row r="78" ht="24" customHeight="1" spans="2:12">
      <c r="B78" s="19"/>
      <c r="C78" s="20"/>
      <c r="D78" s="21" t="s">
        <v>111</v>
      </c>
      <c r="E78" s="22"/>
      <c r="F78" s="23">
        <f t="shared" ref="F78:K78" si="14">SUM(F77:F77)</f>
        <v>27571.74</v>
      </c>
      <c r="G78" s="23">
        <f t="shared" si="14"/>
        <v>0</v>
      </c>
      <c r="H78" s="23">
        <f t="shared" si="14"/>
        <v>0</v>
      </c>
      <c r="I78" s="23">
        <f t="shared" si="14"/>
        <v>0</v>
      </c>
      <c r="J78" s="23">
        <f t="shared" si="14"/>
        <v>0</v>
      </c>
      <c r="K78" s="23">
        <f t="shared" si="14"/>
        <v>27571.74</v>
      </c>
      <c r="L78" s="22"/>
    </row>
    <row r="79" customFormat="1" ht="24" customHeight="1" spans="2:12">
      <c r="B79" s="33"/>
      <c r="C79" s="33" t="s">
        <v>120</v>
      </c>
      <c r="D79" s="33" t="s">
        <v>120</v>
      </c>
      <c r="E79" s="33" t="s">
        <v>153</v>
      </c>
      <c r="F79" s="34">
        <v>0</v>
      </c>
      <c r="G79" s="34"/>
      <c r="H79" s="34"/>
      <c r="I79" s="34"/>
      <c r="J79" s="34"/>
      <c r="K79" s="34">
        <f>F79+H79-J79</f>
        <v>0</v>
      </c>
      <c r="L79" s="35"/>
    </row>
    <row r="80" ht="24" customHeight="1" spans="2:12">
      <c r="B80" s="19"/>
      <c r="C80" s="20"/>
      <c r="D80" s="21" t="s">
        <v>122</v>
      </c>
      <c r="E80" s="22"/>
      <c r="F80" s="23">
        <f t="shared" ref="F80:K80" si="15">SUM(F79:F79)</f>
        <v>0</v>
      </c>
      <c r="G80" s="23">
        <f t="shared" si="15"/>
        <v>0</v>
      </c>
      <c r="H80" s="23">
        <f t="shared" si="15"/>
        <v>0</v>
      </c>
      <c r="I80" s="23">
        <f t="shared" si="15"/>
        <v>0</v>
      </c>
      <c r="J80" s="23">
        <f t="shared" si="15"/>
        <v>0</v>
      </c>
      <c r="K80" s="23">
        <f t="shared" si="15"/>
        <v>0</v>
      </c>
      <c r="L80" s="22"/>
    </row>
    <row r="81" ht="25.5" customHeight="1" spans="2:12">
      <c r="B81" s="24"/>
      <c r="C81" s="25"/>
      <c r="D81" s="26" t="s">
        <v>154</v>
      </c>
      <c r="E81" s="27"/>
      <c r="F81" s="28">
        <f t="shared" ref="F81:K81" si="16">F78+F80</f>
        <v>27571.74</v>
      </c>
      <c r="G81" s="28">
        <f t="shared" si="16"/>
        <v>0</v>
      </c>
      <c r="H81" s="28">
        <f t="shared" si="16"/>
        <v>0</v>
      </c>
      <c r="I81" s="28">
        <f t="shared" si="16"/>
        <v>0</v>
      </c>
      <c r="J81" s="28">
        <f t="shared" si="16"/>
        <v>0</v>
      </c>
      <c r="K81" s="28">
        <f t="shared" si="16"/>
        <v>27571.74</v>
      </c>
      <c r="L81" s="27"/>
    </row>
    <row r="82" ht="24" customHeight="1" spans="2:12">
      <c r="B82" s="14" t="s">
        <v>155</v>
      </c>
      <c r="C82" s="14" t="s">
        <v>16</v>
      </c>
      <c r="D82" s="14" t="s">
        <v>130</v>
      </c>
      <c r="E82" s="14" t="s">
        <v>156</v>
      </c>
      <c r="F82" s="15">
        <v>269426.95</v>
      </c>
      <c r="G82" s="15"/>
      <c r="H82" s="15"/>
      <c r="I82" s="15"/>
      <c r="J82" s="15"/>
      <c r="K82" s="15">
        <f>F82+H82-J82</f>
        <v>269426.95</v>
      </c>
      <c r="L82" s="13"/>
    </row>
    <row r="83" ht="25.5" customHeight="1" spans="2:12">
      <c r="B83" s="16"/>
      <c r="C83" s="16" t="s">
        <v>16</v>
      </c>
      <c r="D83" s="11" t="s">
        <v>157</v>
      </c>
      <c r="E83" s="11" t="s">
        <v>158</v>
      </c>
      <c r="F83" s="17">
        <v>712.81</v>
      </c>
      <c r="G83" s="17"/>
      <c r="H83" s="17"/>
      <c r="I83" s="17"/>
      <c r="J83" s="17"/>
      <c r="K83" s="15">
        <f>F83+H83-J83</f>
        <v>712.81</v>
      </c>
      <c r="L83" s="13"/>
    </row>
    <row r="84" ht="24" customHeight="1" spans="2:12">
      <c r="B84" s="19"/>
      <c r="C84" s="20"/>
      <c r="D84" s="21" t="s">
        <v>111</v>
      </c>
      <c r="E84" s="22"/>
      <c r="F84" s="23">
        <f t="shared" ref="F84:K84" si="17">SUM(F82:F83)</f>
        <v>270139.76</v>
      </c>
      <c r="G84" s="23">
        <f t="shared" si="17"/>
        <v>0</v>
      </c>
      <c r="H84" s="23">
        <f t="shared" si="17"/>
        <v>0</v>
      </c>
      <c r="I84" s="23">
        <f t="shared" si="17"/>
        <v>0</v>
      </c>
      <c r="J84" s="23">
        <f t="shared" si="17"/>
        <v>0</v>
      </c>
      <c r="K84" s="23">
        <f t="shared" si="17"/>
        <v>270139.76</v>
      </c>
      <c r="L84" s="22"/>
    </row>
    <row r="85" ht="24" customHeight="1" spans="2:12">
      <c r="B85" s="14"/>
      <c r="C85" s="14" t="s">
        <v>120</v>
      </c>
      <c r="D85" s="14" t="s">
        <v>157</v>
      </c>
      <c r="E85" s="14" t="s">
        <v>159</v>
      </c>
      <c r="F85" s="15">
        <v>5000000</v>
      </c>
      <c r="G85" s="15"/>
      <c r="H85" s="15"/>
      <c r="I85" s="15"/>
      <c r="J85" s="15"/>
      <c r="K85" s="15">
        <f>F85+H85-J85</f>
        <v>5000000</v>
      </c>
      <c r="L85" s="13"/>
    </row>
    <row r="86" ht="24" customHeight="1" spans="2:12">
      <c r="B86" s="19"/>
      <c r="C86" s="20"/>
      <c r="D86" s="21" t="s">
        <v>122</v>
      </c>
      <c r="E86" s="22"/>
      <c r="F86" s="23">
        <f t="shared" ref="F86:K86" si="18">SUM(F85:F85)</f>
        <v>5000000</v>
      </c>
      <c r="G86" s="23">
        <f t="shared" si="18"/>
        <v>0</v>
      </c>
      <c r="H86" s="23">
        <f t="shared" si="18"/>
        <v>0</v>
      </c>
      <c r="I86" s="23">
        <f t="shared" si="18"/>
        <v>0</v>
      </c>
      <c r="J86" s="23">
        <f t="shared" si="18"/>
        <v>0</v>
      </c>
      <c r="K86" s="23">
        <f t="shared" si="18"/>
        <v>5000000</v>
      </c>
      <c r="L86" s="22"/>
    </row>
    <row r="87" ht="25.5" customHeight="1" spans="2:12">
      <c r="B87" s="24"/>
      <c r="C87" s="25"/>
      <c r="D87" s="26" t="s">
        <v>160</v>
      </c>
      <c r="E87" s="27"/>
      <c r="F87" s="28">
        <f t="shared" ref="F87:K87" si="19">F84+F86</f>
        <v>5270139.76</v>
      </c>
      <c r="G87" s="28">
        <f t="shared" si="19"/>
        <v>0</v>
      </c>
      <c r="H87" s="28">
        <f t="shared" si="19"/>
        <v>0</v>
      </c>
      <c r="I87" s="28">
        <f t="shared" si="19"/>
        <v>0</v>
      </c>
      <c r="J87" s="28">
        <f t="shared" si="19"/>
        <v>0</v>
      </c>
      <c r="K87" s="28">
        <f t="shared" si="19"/>
        <v>5270139.76</v>
      </c>
      <c r="L87" s="27"/>
    </row>
    <row r="88" ht="24" customHeight="1" spans="2:12">
      <c r="B88" s="14" t="s">
        <v>161</v>
      </c>
      <c r="C88" s="14" t="s">
        <v>16</v>
      </c>
      <c r="D88" s="14" t="s">
        <v>17</v>
      </c>
      <c r="E88" s="14" t="s">
        <v>162</v>
      </c>
      <c r="F88" s="15">
        <v>6479.44</v>
      </c>
      <c r="G88" s="15"/>
      <c r="H88" s="15"/>
      <c r="I88" s="15"/>
      <c r="J88" s="15"/>
      <c r="K88" s="15">
        <f>F88+H88-J88</f>
        <v>6479.44</v>
      </c>
      <c r="L88" s="13"/>
    </row>
    <row r="89" ht="24" customHeight="1" spans="2:12">
      <c r="B89" s="11"/>
      <c r="C89" s="11" t="s">
        <v>16</v>
      </c>
      <c r="D89" s="11" t="s">
        <v>31</v>
      </c>
      <c r="E89" s="11" t="s">
        <v>163</v>
      </c>
      <c r="F89" s="12">
        <v>803.44</v>
      </c>
      <c r="G89" s="12"/>
      <c r="H89" s="12"/>
      <c r="I89" s="12"/>
      <c r="J89" s="12"/>
      <c r="K89" s="15">
        <f>F89+H89-J89</f>
        <v>803.44</v>
      </c>
      <c r="L89" s="13"/>
    </row>
    <row r="90" ht="24" customHeight="1" spans="2:12">
      <c r="B90" s="14"/>
      <c r="C90" s="14" t="s">
        <v>16</v>
      </c>
      <c r="D90" s="14" t="s">
        <v>164</v>
      </c>
      <c r="E90" s="14" t="s">
        <v>165</v>
      </c>
      <c r="F90" s="15">
        <v>26743.23</v>
      </c>
      <c r="G90" s="15"/>
      <c r="H90" s="15"/>
      <c r="I90" s="15"/>
      <c r="J90" s="15"/>
      <c r="K90" s="15">
        <f>F90+H90-J90</f>
        <v>26743.23</v>
      </c>
      <c r="L90" s="13"/>
    </row>
    <row r="91" ht="24" customHeight="1" spans="2:12">
      <c r="B91" s="11"/>
      <c r="C91" s="11" t="s">
        <v>16</v>
      </c>
      <c r="D91" s="11" t="s">
        <v>166</v>
      </c>
      <c r="E91" s="11" t="s">
        <v>167</v>
      </c>
      <c r="F91" s="12">
        <v>1602.64</v>
      </c>
      <c r="G91" s="12"/>
      <c r="H91" s="12"/>
      <c r="I91" s="12"/>
      <c r="J91" s="12"/>
      <c r="K91" s="15">
        <f>F91+H91-J91</f>
        <v>1602.64</v>
      </c>
      <c r="L91" s="13"/>
    </row>
    <row r="92" ht="24" customHeight="1" spans="2:12">
      <c r="B92" s="19"/>
      <c r="C92" s="20"/>
      <c r="D92" s="21" t="s">
        <v>111</v>
      </c>
      <c r="E92" s="22"/>
      <c r="F92" s="23">
        <f t="shared" ref="F92:K92" si="20">SUM(F88:F91)</f>
        <v>35628.75</v>
      </c>
      <c r="G92" s="23">
        <f t="shared" si="20"/>
        <v>0</v>
      </c>
      <c r="H92" s="23">
        <f t="shared" si="20"/>
        <v>0</v>
      </c>
      <c r="I92" s="23">
        <f t="shared" si="20"/>
        <v>0</v>
      </c>
      <c r="J92" s="23">
        <f t="shared" si="20"/>
        <v>0</v>
      </c>
      <c r="K92" s="23">
        <f t="shared" si="20"/>
        <v>35628.75</v>
      </c>
      <c r="L92" s="22"/>
    </row>
    <row r="93" ht="24" customHeight="1" spans="2:12">
      <c r="B93" s="14"/>
      <c r="C93" s="14" t="s">
        <v>112</v>
      </c>
      <c r="D93" s="14" t="s">
        <v>112</v>
      </c>
      <c r="E93" s="14" t="s">
        <v>168</v>
      </c>
      <c r="F93" s="15">
        <v>8177.85</v>
      </c>
      <c r="G93" s="15"/>
      <c r="H93" s="15"/>
      <c r="I93" s="15"/>
      <c r="J93" s="15"/>
      <c r="K93" s="15">
        <f>F93+H93-J93</f>
        <v>8177.85</v>
      </c>
      <c r="L93" s="13"/>
    </row>
    <row r="94" ht="24" customHeight="1" spans="2:12">
      <c r="B94" s="19"/>
      <c r="C94" s="20"/>
      <c r="D94" s="21" t="s">
        <v>119</v>
      </c>
      <c r="E94" s="22"/>
      <c r="F94" s="23">
        <f t="shared" ref="F94:K94" si="21">SUM(F93:F93)</f>
        <v>8177.85</v>
      </c>
      <c r="G94" s="23">
        <f t="shared" si="21"/>
        <v>0</v>
      </c>
      <c r="H94" s="23">
        <f t="shared" si="21"/>
        <v>0</v>
      </c>
      <c r="I94" s="23">
        <f t="shared" si="21"/>
        <v>0</v>
      </c>
      <c r="J94" s="23">
        <f t="shared" si="21"/>
        <v>0</v>
      </c>
      <c r="K94" s="23">
        <f t="shared" si="21"/>
        <v>8177.85</v>
      </c>
      <c r="L94" s="22"/>
    </row>
    <row r="95" ht="24" customHeight="1" spans="2:12">
      <c r="B95" s="11"/>
      <c r="C95" s="11" t="s">
        <v>120</v>
      </c>
      <c r="D95" s="11" t="s">
        <v>120</v>
      </c>
      <c r="E95" s="11" t="s">
        <v>169</v>
      </c>
      <c r="F95" s="12">
        <v>0</v>
      </c>
      <c r="G95" s="12"/>
      <c r="H95" s="12"/>
      <c r="I95" s="12"/>
      <c r="J95" s="12"/>
      <c r="K95" s="12">
        <f>F95+H95-J95</f>
        <v>0</v>
      </c>
      <c r="L95" s="13"/>
    </row>
    <row r="96" ht="24" customHeight="1" spans="2:12">
      <c r="B96" s="19"/>
      <c r="C96" s="20"/>
      <c r="D96" s="21" t="s">
        <v>122</v>
      </c>
      <c r="E96" s="22"/>
      <c r="F96" s="23">
        <f t="shared" ref="F96:K96" si="22">SUM(F95:F95)</f>
        <v>0</v>
      </c>
      <c r="G96" s="23">
        <f t="shared" si="22"/>
        <v>0</v>
      </c>
      <c r="H96" s="23">
        <f t="shared" si="22"/>
        <v>0</v>
      </c>
      <c r="I96" s="23">
        <f t="shared" si="22"/>
        <v>0</v>
      </c>
      <c r="J96" s="23">
        <f t="shared" si="22"/>
        <v>0</v>
      </c>
      <c r="K96" s="23">
        <f t="shared" si="22"/>
        <v>0</v>
      </c>
      <c r="L96" s="22"/>
    </row>
    <row r="97" ht="24" customHeight="1" spans="2:12">
      <c r="B97" s="24"/>
      <c r="C97" s="25"/>
      <c r="D97" s="26" t="s">
        <v>170</v>
      </c>
      <c r="E97" s="27"/>
      <c r="F97" s="28">
        <f t="shared" ref="F97:K97" si="23">F92+F94+F96</f>
        <v>43806.6</v>
      </c>
      <c r="G97" s="28">
        <f t="shared" si="23"/>
        <v>0</v>
      </c>
      <c r="H97" s="28">
        <f t="shared" si="23"/>
        <v>0</v>
      </c>
      <c r="I97" s="28">
        <f t="shared" si="23"/>
        <v>0</v>
      </c>
      <c r="J97" s="28">
        <f t="shared" si="23"/>
        <v>0</v>
      </c>
      <c r="K97" s="28">
        <f t="shared" si="23"/>
        <v>43806.6</v>
      </c>
      <c r="L97" s="27"/>
    </row>
    <row r="98" ht="24" customHeight="1" spans="2:12">
      <c r="B98" s="14" t="s">
        <v>171</v>
      </c>
      <c r="C98" s="14" t="s">
        <v>16</v>
      </c>
      <c r="D98" s="14" t="s">
        <v>17</v>
      </c>
      <c r="E98" s="14" t="s">
        <v>172</v>
      </c>
      <c r="F98" s="15">
        <v>5292</v>
      </c>
      <c r="G98" s="15"/>
      <c r="H98" s="15"/>
      <c r="I98" s="15"/>
      <c r="J98" s="15"/>
      <c r="K98" s="15">
        <f>F98+H98-J98</f>
        <v>5292</v>
      </c>
      <c r="L98" s="13"/>
    </row>
    <row r="99" ht="24" customHeight="1" spans="2:12">
      <c r="B99" s="11"/>
      <c r="C99" s="11" t="s">
        <v>16</v>
      </c>
      <c r="D99" s="11" t="s">
        <v>31</v>
      </c>
      <c r="E99" s="11" t="s">
        <v>173</v>
      </c>
      <c r="F99" s="12">
        <v>160.02</v>
      </c>
      <c r="G99" s="12"/>
      <c r="H99" s="12"/>
      <c r="I99" s="12"/>
      <c r="J99" s="12"/>
      <c r="K99" s="15">
        <f>F99+H99-J99</f>
        <v>160.02</v>
      </c>
      <c r="L99" s="13"/>
    </row>
    <row r="100" ht="24" customHeight="1" spans="2:12">
      <c r="B100" s="14"/>
      <c r="C100" s="14" t="s">
        <v>16</v>
      </c>
      <c r="D100" s="14" t="s">
        <v>174</v>
      </c>
      <c r="E100" s="14" t="s">
        <v>175</v>
      </c>
      <c r="F100" s="15">
        <v>1602.64</v>
      </c>
      <c r="G100" s="15"/>
      <c r="H100" s="15"/>
      <c r="I100" s="15"/>
      <c r="J100" s="15"/>
      <c r="K100" s="15">
        <f>F100+H100-J100</f>
        <v>1602.64</v>
      </c>
      <c r="L100" s="13"/>
    </row>
    <row r="101" ht="24" customHeight="1" spans="2:12">
      <c r="B101" s="19"/>
      <c r="C101" s="20"/>
      <c r="D101" s="21" t="s">
        <v>111</v>
      </c>
      <c r="E101" s="22"/>
      <c r="F101" s="23">
        <f t="shared" ref="F101:K101" si="24">SUM(F98:F100)</f>
        <v>7054.66</v>
      </c>
      <c r="G101" s="23">
        <f t="shared" si="24"/>
        <v>0</v>
      </c>
      <c r="H101" s="23">
        <f t="shared" si="24"/>
        <v>0</v>
      </c>
      <c r="I101" s="23">
        <f t="shared" si="24"/>
        <v>0</v>
      </c>
      <c r="J101" s="23">
        <f t="shared" si="24"/>
        <v>0</v>
      </c>
      <c r="K101" s="23">
        <f t="shared" si="24"/>
        <v>7054.66</v>
      </c>
      <c r="L101" s="22"/>
    </row>
    <row r="102" ht="24" customHeight="1" spans="2:12">
      <c r="B102" s="11"/>
      <c r="C102" s="11" t="s">
        <v>112</v>
      </c>
      <c r="D102" s="11" t="s">
        <v>112</v>
      </c>
      <c r="E102" s="11" t="s">
        <v>176</v>
      </c>
      <c r="F102" s="12">
        <v>26898.32</v>
      </c>
      <c r="G102" s="12"/>
      <c r="H102" s="12"/>
      <c r="I102" s="12"/>
      <c r="J102" s="12"/>
      <c r="K102" s="12">
        <f>F102+H102-J102</f>
        <v>26898.32</v>
      </c>
      <c r="L102" s="13"/>
    </row>
    <row r="103" ht="24" customHeight="1" spans="2:12">
      <c r="B103" s="19"/>
      <c r="C103" s="20"/>
      <c r="D103" s="21" t="s">
        <v>119</v>
      </c>
      <c r="E103" s="22"/>
      <c r="F103" s="23">
        <f t="shared" ref="F103:K103" si="25">SUM(F102:F102)</f>
        <v>26898.32</v>
      </c>
      <c r="G103" s="23">
        <f t="shared" si="25"/>
        <v>0</v>
      </c>
      <c r="H103" s="23">
        <f t="shared" si="25"/>
        <v>0</v>
      </c>
      <c r="I103" s="23">
        <f t="shared" si="25"/>
        <v>0</v>
      </c>
      <c r="J103" s="23">
        <f t="shared" si="25"/>
        <v>0</v>
      </c>
      <c r="K103" s="23">
        <f t="shared" si="25"/>
        <v>26898.32</v>
      </c>
      <c r="L103" s="22"/>
    </row>
    <row r="104" ht="25.5" customHeight="1" spans="2:12">
      <c r="B104" s="16"/>
      <c r="C104" s="16" t="s">
        <v>120</v>
      </c>
      <c r="D104" s="11" t="s">
        <v>120</v>
      </c>
      <c r="E104" s="11" t="s">
        <v>177</v>
      </c>
      <c r="F104" s="17">
        <v>0</v>
      </c>
      <c r="G104" s="17"/>
      <c r="H104" s="17"/>
      <c r="I104" s="17"/>
      <c r="J104" s="17"/>
      <c r="K104" s="17">
        <f>F104+H104-J104</f>
        <v>0</v>
      </c>
      <c r="L104" s="13"/>
    </row>
    <row r="105" ht="24" customHeight="1" spans="2:12">
      <c r="B105" s="19"/>
      <c r="C105" s="20"/>
      <c r="D105" s="21" t="s">
        <v>122</v>
      </c>
      <c r="E105" s="22"/>
      <c r="F105" s="23">
        <f t="shared" ref="F105:K105" si="26">SUM(F104:F104)</f>
        <v>0</v>
      </c>
      <c r="G105" s="23">
        <f t="shared" si="26"/>
        <v>0</v>
      </c>
      <c r="H105" s="23">
        <f t="shared" si="26"/>
        <v>0</v>
      </c>
      <c r="I105" s="23">
        <f t="shared" si="26"/>
        <v>0</v>
      </c>
      <c r="J105" s="23">
        <f t="shared" si="26"/>
        <v>0</v>
      </c>
      <c r="K105" s="23">
        <f t="shared" si="26"/>
        <v>0</v>
      </c>
      <c r="L105" s="22"/>
    </row>
    <row r="106" ht="24" customHeight="1" spans="2:12">
      <c r="B106" s="24"/>
      <c r="C106" s="25"/>
      <c r="D106" s="26" t="s">
        <v>178</v>
      </c>
      <c r="E106" s="27"/>
      <c r="F106" s="28">
        <f t="shared" ref="F106:K106" si="27">F101+F103+F105</f>
        <v>33952.98</v>
      </c>
      <c r="G106" s="28">
        <f t="shared" si="27"/>
        <v>0</v>
      </c>
      <c r="H106" s="28">
        <f t="shared" si="27"/>
        <v>0</v>
      </c>
      <c r="I106" s="28">
        <f t="shared" si="27"/>
        <v>0</v>
      </c>
      <c r="J106" s="28">
        <f t="shared" si="27"/>
        <v>0</v>
      </c>
      <c r="K106" s="28">
        <f t="shared" si="27"/>
        <v>33952.98</v>
      </c>
      <c r="L106" s="27"/>
    </row>
    <row r="107" ht="24" customHeight="1" spans="2:12">
      <c r="B107" s="11" t="s">
        <v>179</v>
      </c>
      <c r="C107" s="11" t="s">
        <v>16</v>
      </c>
      <c r="D107" s="11" t="s">
        <v>17</v>
      </c>
      <c r="E107" s="11" t="s">
        <v>180</v>
      </c>
      <c r="F107" s="12">
        <v>7390.92</v>
      </c>
      <c r="G107" s="12"/>
      <c r="H107" s="12"/>
      <c r="I107" s="12"/>
      <c r="J107" s="12"/>
      <c r="K107" s="12">
        <f>F107+H107-J107</f>
        <v>7390.92</v>
      </c>
      <c r="L107" s="13"/>
    </row>
    <row r="108" ht="24" customHeight="1" spans="2:12">
      <c r="B108" s="14"/>
      <c r="C108" s="14" t="s">
        <v>16</v>
      </c>
      <c r="D108" s="14" t="s">
        <v>164</v>
      </c>
      <c r="E108" s="14" t="s">
        <v>181</v>
      </c>
      <c r="F108" s="15">
        <v>47146.64</v>
      </c>
      <c r="G108" s="15"/>
      <c r="H108" s="15"/>
      <c r="I108" s="15"/>
      <c r="J108" s="15"/>
      <c r="K108" s="12">
        <f>F108+H108-J108</f>
        <v>47146.64</v>
      </c>
      <c r="L108" s="13"/>
    </row>
    <row r="109" ht="25.5" customHeight="1" spans="2:12">
      <c r="B109" s="16"/>
      <c r="C109" s="16" t="s">
        <v>16</v>
      </c>
      <c r="D109" s="11" t="s">
        <v>31</v>
      </c>
      <c r="E109" s="11" t="s">
        <v>182</v>
      </c>
      <c r="F109" s="17">
        <v>1018.94</v>
      </c>
      <c r="G109" s="17"/>
      <c r="H109" s="17"/>
      <c r="I109" s="17"/>
      <c r="J109" s="17"/>
      <c r="K109" s="12">
        <f>F109+H109-J109</f>
        <v>1018.94</v>
      </c>
      <c r="L109" s="13"/>
    </row>
    <row r="110" ht="24" customHeight="1" spans="2:12">
      <c r="B110" s="14"/>
      <c r="C110" s="14" t="s">
        <v>16</v>
      </c>
      <c r="D110" s="14" t="s">
        <v>174</v>
      </c>
      <c r="E110" s="14" t="s">
        <v>183</v>
      </c>
      <c r="F110" s="15">
        <v>1672.85</v>
      </c>
      <c r="G110" s="15"/>
      <c r="H110" s="15"/>
      <c r="I110" s="15"/>
      <c r="J110" s="15"/>
      <c r="K110" s="12">
        <f>F110+H110-J110</f>
        <v>1672.85</v>
      </c>
      <c r="L110" s="13"/>
    </row>
    <row r="111" ht="24" customHeight="1" spans="2:12">
      <c r="B111" s="11"/>
      <c r="C111" s="11" t="s">
        <v>16</v>
      </c>
      <c r="D111" s="11" t="s">
        <v>184</v>
      </c>
      <c r="E111" s="11" t="s">
        <v>185</v>
      </c>
      <c r="F111" s="12">
        <v>0</v>
      </c>
      <c r="G111" s="12"/>
      <c r="H111" s="12"/>
      <c r="I111" s="12"/>
      <c r="J111" s="12"/>
      <c r="K111" s="12">
        <f>F111+H111-J111</f>
        <v>0</v>
      </c>
      <c r="L111" s="13"/>
    </row>
    <row r="112" ht="24" customHeight="1" spans="2:12">
      <c r="B112" s="19"/>
      <c r="C112" s="20"/>
      <c r="D112" s="21" t="s">
        <v>111</v>
      </c>
      <c r="E112" s="22"/>
      <c r="F112" s="23">
        <f t="shared" ref="F112:K112" si="28">SUM(F107:F111)</f>
        <v>57229.35</v>
      </c>
      <c r="G112" s="23">
        <f t="shared" si="28"/>
        <v>0</v>
      </c>
      <c r="H112" s="23">
        <f t="shared" si="28"/>
        <v>0</v>
      </c>
      <c r="I112" s="23">
        <f t="shared" si="28"/>
        <v>0</v>
      </c>
      <c r="J112" s="23">
        <f t="shared" si="28"/>
        <v>0</v>
      </c>
      <c r="K112" s="23">
        <f t="shared" si="28"/>
        <v>57229.35</v>
      </c>
      <c r="L112" s="22"/>
    </row>
    <row r="113" ht="25.5" customHeight="1" spans="2:12">
      <c r="B113" s="16"/>
      <c r="C113" s="16" t="s">
        <v>112</v>
      </c>
      <c r="D113" s="11" t="s">
        <v>112</v>
      </c>
      <c r="E113" s="11" t="s">
        <v>186</v>
      </c>
      <c r="F113" s="17">
        <v>10630.4</v>
      </c>
      <c r="G113" s="17"/>
      <c r="H113" s="17"/>
      <c r="I113" s="17"/>
      <c r="J113" s="17"/>
      <c r="K113" s="17">
        <f>F113+H113-J113</f>
        <v>10630.4</v>
      </c>
      <c r="L113" s="13"/>
    </row>
    <row r="114" ht="24" customHeight="1" spans="2:12">
      <c r="B114" s="19"/>
      <c r="C114" s="20"/>
      <c r="D114" s="21" t="s">
        <v>119</v>
      </c>
      <c r="E114" s="22"/>
      <c r="F114" s="23">
        <f t="shared" ref="F114:K114" si="29">SUM(F113:F113)</f>
        <v>10630.4</v>
      </c>
      <c r="G114" s="23">
        <f t="shared" si="29"/>
        <v>0</v>
      </c>
      <c r="H114" s="23">
        <f t="shared" si="29"/>
        <v>0</v>
      </c>
      <c r="I114" s="23">
        <f t="shared" si="29"/>
        <v>0</v>
      </c>
      <c r="J114" s="23">
        <f t="shared" si="29"/>
        <v>0</v>
      </c>
      <c r="K114" s="23">
        <f t="shared" si="29"/>
        <v>10630.4</v>
      </c>
      <c r="L114" s="22"/>
    </row>
    <row r="115" ht="24" customHeight="1" spans="2:12">
      <c r="B115" s="11"/>
      <c r="C115" s="11" t="s">
        <v>120</v>
      </c>
      <c r="D115" s="11" t="s">
        <v>120</v>
      </c>
      <c r="E115" s="11" t="s">
        <v>187</v>
      </c>
      <c r="F115" s="12">
        <v>0</v>
      </c>
      <c r="G115" s="12"/>
      <c r="H115" s="12"/>
      <c r="I115" s="12"/>
      <c r="J115" s="12"/>
      <c r="K115" s="12">
        <f>F115+H115-J115</f>
        <v>0</v>
      </c>
      <c r="L115" s="13"/>
    </row>
    <row r="116" ht="24" customHeight="1" spans="2:12">
      <c r="B116" s="19"/>
      <c r="C116" s="20"/>
      <c r="D116" s="21" t="s">
        <v>122</v>
      </c>
      <c r="E116" s="22"/>
      <c r="F116" s="23">
        <f t="shared" ref="F116:K116" si="30">SUM(F115:F115)</f>
        <v>0</v>
      </c>
      <c r="G116" s="23">
        <f t="shared" si="30"/>
        <v>0</v>
      </c>
      <c r="H116" s="23">
        <f t="shared" si="30"/>
        <v>0</v>
      </c>
      <c r="I116" s="23">
        <f t="shared" si="30"/>
        <v>0</v>
      </c>
      <c r="J116" s="23">
        <f t="shared" si="30"/>
        <v>0</v>
      </c>
      <c r="K116" s="23">
        <f t="shared" si="30"/>
        <v>0</v>
      </c>
      <c r="L116" s="22"/>
    </row>
    <row r="117" ht="24" customHeight="1" spans="2:12">
      <c r="B117" s="24"/>
      <c r="C117" s="25"/>
      <c r="D117" s="26" t="s">
        <v>188</v>
      </c>
      <c r="E117" s="27"/>
      <c r="F117" s="28">
        <f t="shared" ref="F117:K117" si="31">F112+F114+F116</f>
        <v>67859.75</v>
      </c>
      <c r="G117" s="28">
        <f t="shared" si="31"/>
        <v>0</v>
      </c>
      <c r="H117" s="28">
        <f t="shared" si="31"/>
        <v>0</v>
      </c>
      <c r="I117" s="28">
        <f t="shared" si="31"/>
        <v>0</v>
      </c>
      <c r="J117" s="28">
        <f t="shared" si="31"/>
        <v>0</v>
      </c>
      <c r="K117" s="28">
        <f t="shared" si="31"/>
        <v>67859.75</v>
      </c>
      <c r="L117" s="27"/>
    </row>
    <row r="118" ht="24" customHeight="1" spans="2:12">
      <c r="B118" s="14" t="s">
        <v>189</v>
      </c>
      <c r="C118" s="14" t="s">
        <v>16</v>
      </c>
      <c r="D118" s="14" t="s">
        <v>190</v>
      </c>
      <c r="E118" s="14" t="s">
        <v>191</v>
      </c>
      <c r="F118" s="15">
        <v>91.28</v>
      </c>
      <c r="G118" s="15"/>
      <c r="H118" s="15"/>
      <c r="I118" s="15"/>
      <c r="J118" s="15"/>
      <c r="K118" s="15">
        <f>F118+H118-J118</f>
        <v>91.28</v>
      </c>
      <c r="L118" s="13"/>
    </row>
    <row r="119" ht="24" customHeight="1" spans="2:12">
      <c r="B119" s="11"/>
      <c r="C119" s="11" t="s">
        <v>16</v>
      </c>
      <c r="D119" s="11" t="s">
        <v>31</v>
      </c>
      <c r="E119" s="11" t="s">
        <v>192</v>
      </c>
      <c r="F119" s="12">
        <v>722.44</v>
      </c>
      <c r="G119" s="12"/>
      <c r="H119" s="12"/>
      <c r="I119" s="12"/>
      <c r="J119" s="12"/>
      <c r="K119" s="15">
        <f>F119+H119-J119</f>
        <v>722.44</v>
      </c>
      <c r="L119" s="13"/>
    </row>
    <row r="120" ht="25.5" customHeight="1" spans="2:12">
      <c r="B120" s="16"/>
      <c r="C120" s="16" t="s">
        <v>16</v>
      </c>
      <c r="D120" s="11" t="s">
        <v>164</v>
      </c>
      <c r="E120" s="11" t="s">
        <v>193</v>
      </c>
      <c r="F120" s="17">
        <v>0</v>
      </c>
      <c r="G120" s="17"/>
      <c r="H120" s="17"/>
      <c r="I120" s="17"/>
      <c r="J120" s="17"/>
      <c r="K120" s="15">
        <f>F120+H120-J120</f>
        <v>0</v>
      </c>
      <c r="L120" s="13"/>
    </row>
    <row r="121" ht="24" customHeight="1" spans="2:12">
      <c r="B121" s="11"/>
      <c r="C121" s="11" t="s">
        <v>16</v>
      </c>
      <c r="D121" s="11" t="s">
        <v>194</v>
      </c>
      <c r="E121" s="11" t="s">
        <v>195</v>
      </c>
      <c r="F121" s="12">
        <v>100</v>
      </c>
      <c r="G121" s="12"/>
      <c r="H121" s="12"/>
      <c r="I121" s="12"/>
      <c r="J121" s="12"/>
      <c r="K121" s="15">
        <f>F121+H121-J121</f>
        <v>100</v>
      </c>
      <c r="L121" s="13"/>
    </row>
    <row r="122" ht="25.5" customHeight="1" spans="2:12">
      <c r="B122" s="16"/>
      <c r="C122" s="16" t="s">
        <v>16</v>
      </c>
      <c r="D122" s="11" t="s">
        <v>196</v>
      </c>
      <c r="E122" s="11" t="s">
        <v>197</v>
      </c>
      <c r="F122" s="17">
        <v>6435.52</v>
      </c>
      <c r="G122" s="17"/>
      <c r="H122" s="17"/>
      <c r="I122" s="17"/>
      <c r="J122" s="17"/>
      <c r="K122" s="15">
        <f>F122+H122-J122</f>
        <v>6435.52</v>
      </c>
      <c r="L122" s="13"/>
    </row>
    <row r="123" ht="24" customHeight="1" spans="2:12">
      <c r="B123" s="19"/>
      <c r="C123" s="22"/>
      <c r="D123" s="29" t="s">
        <v>111</v>
      </c>
      <c r="E123" s="22"/>
      <c r="F123" s="23">
        <f t="shared" ref="F123:K123" si="32">SUM(F118:F122)</f>
        <v>7349.24</v>
      </c>
      <c r="G123" s="23">
        <f t="shared" si="32"/>
        <v>0</v>
      </c>
      <c r="H123" s="23">
        <f t="shared" si="32"/>
        <v>0</v>
      </c>
      <c r="I123" s="23">
        <f t="shared" si="32"/>
        <v>0</v>
      </c>
      <c r="J123" s="23">
        <f t="shared" si="32"/>
        <v>0</v>
      </c>
      <c r="K123" s="23">
        <f t="shared" si="32"/>
        <v>7349.24</v>
      </c>
      <c r="L123" s="22"/>
    </row>
    <row r="124" ht="24" customHeight="1" spans="2:12">
      <c r="B124" s="11"/>
      <c r="C124" s="11" t="s">
        <v>112</v>
      </c>
      <c r="D124" s="11" t="s">
        <v>112</v>
      </c>
      <c r="E124" s="11" t="s">
        <v>198</v>
      </c>
      <c r="F124" s="12">
        <v>95526.98</v>
      </c>
      <c r="G124" s="12"/>
      <c r="H124" s="12"/>
      <c r="I124" s="12"/>
      <c r="J124" s="12"/>
      <c r="K124" s="12">
        <f>F124+H124-J124</f>
        <v>95526.98</v>
      </c>
      <c r="L124" s="13"/>
    </row>
    <row r="125" ht="25.5" customHeight="1" spans="2:12">
      <c r="B125" s="19"/>
      <c r="C125" s="22"/>
      <c r="D125" s="29" t="s">
        <v>119</v>
      </c>
      <c r="E125" s="22"/>
      <c r="F125" s="23">
        <f t="shared" ref="F125:K125" si="33">SUM(F124:F124)</f>
        <v>95526.98</v>
      </c>
      <c r="G125" s="23">
        <f t="shared" si="33"/>
        <v>0</v>
      </c>
      <c r="H125" s="23">
        <f t="shared" si="33"/>
        <v>0</v>
      </c>
      <c r="I125" s="23">
        <f t="shared" si="33"/>
        <v>0</v>
      </c>
      <c r="J125" s="23">
        <f t="shared" si="33"/>
        <v>0</v>
      </c>
      <c r="K125" s="23">
        <f t="shared" si="33"/>
        <v>95526.98</v>
      </c>
      <c r="L125" s="22"/>
    </row>
    <row r="126" ht="25.5" customHeight="1" spans="2:12">
      <c r="B126" s="16"/>
      <c r="C126" s="16" t="s">
        <v>120</v>
      </c>
      <c r="D126" s="11" t="s">
        <v>120</v>
      </c>
      <c r="E126" s="11" t="s">
        <v>199</v>
      </c>
      <c r="F126" s="17">
        <v>0</v>
      </c>
      <c r="G126" s="17"/>
      <c r="H126" s="17"/>
      <c r="I126" s="17"/>
      <c r="J126" s="17"/>
      <c r="K126" s="17">
        <f>F126+H126-J126</f>
        <v>0</v>
      </c>
      <c r="L126" s="13"/>
    </row>
    <row r="127" ht="24" customHeight="1" spans="2:12">
      <c r="B127" s="19"/>
      <c r="C127" s="22"/>
      <c r="D127" s="29" t="s">
        <v>122</v>
      </c>
      <c r="E127" s="22"/>
      <c r="F127" s="23">
        <f t="shared" ref="F127:K127" si="34">SUM(F126:F126)</f>
        <v>0</v>
      </c>
      <c r="G127" s="23">
        <f t="shared" si="34"/>
        <v>0</v>
      </c>
      <c r="H127" s="23">
        <f t="shared" si="34"/>
        <v>0</v>
      </c>
      <c r="I127" s="23">
        <f t="shared" si="34"/>
        <v>0</v>
      </c>
      <c r="J127" s="23">
        <f t="shared" si="34"/>
        <v>0</v>
      </c>
      <c r="K127" s="23">
        <f t="shared" si="34"/>
        <v>0</v>
      </c>
      <c r="L127" s="22"/>
    </row>
    <row r="128" ht="25.5" customHeight="1" spans="2:12">
      <c r="B128" s="24"/>
      <c r="C128" s="27"/>
      <c r="D128" s="36" t="s">
        <v>200</v>
      </c>
      <c r="E128" s="27"/>
      <c r="F128" s="28">
        <f t="shared" ref="F128:K128" si="35">F123+F125+F127</f>
        <v>102876.22</v>
      </c>
      <c r="G128" s="28">
        <f t="shared" si="35"/>
        <v>0</v>
      </c>
      <c r="H128" s="28">
        <f t="shared" si="35"/>
        <v>0</v>
      </c>
      <c r="I128" s="28">
        <f t="shared" si="35"/>
        <v>0</v>
      </c>
      <c r="J128" s="28">
        <f t="shared" si="35"/>
        <v>0</v>
      </c>
      <c r="K128" s="28">
        <f t="shared" si="35"/>
        <v>102876.22</v>
      </c>
      <c r="L128" s="27"/>
    </row>
    <row r="129" ht="24" customHeight="1" spans="2:12">
      <c r="B129" s="11" t="s">
        <v>201</v>
      </c>
      <c r="C129" s="11" t="s">
        <v>16</v>
      </c>
      <c r="D129" s="11" t="s">
        <v>31</v>
      </c>
      <c r="E129" s="11" t="s">
        <v>202</v>
      </c>
      <c r="F129" s="12">
        <v>2152.41</v>
      </c>
      <c r="G129" s="12"/>
      <c r="H129" s="12"/>
      <c r="I129" s="12"/>
      <c r="J129" s="12"/>
      <c r="K129" s="12">
        <f>F129+H129-J129</f>
        <v>2152.41</v>
      </c>
      <c r="L129" s="13"/>
    </row>
    <row r="130" ht="24" customHeight="1" spans="2:12">
      <c r="B130" s="19"/>
      <c r="C130" s="22"/>
      <c r="D130" s="29" t="s">
        <v>111</v>
      </c>
      <c r="E130" s="22"/>
      <c r="F130" s="23">
        <f t="shared" ref="F130:K130" si="36">SUM(F129:F129)</f>
        <v>2152.41</v>
      </c>
      <c r="G130" s="23">
        <f t="shared" si="36"/>
        <v>0</v>
      </c>
      <c r="H130" s="23">
        <f t="shared" si="36"/>
        <v>0</v>
      </c>
      <c r="I130" s="23">
        <f t="shared" si="36"/>
        <v>0</v>
      </c>
      <c r="J130" s="23">
        <f t="shared" si="36"/>
        <v>0</v>
      </c>
      <c r="K130" s="23">
        <f t="shared" si="36"/>
        <v>2152.41</v>
      </c>
      <c r="L130" s="22"/>
    </row>
    <row r="131" ht="25.5" customHeight="1" spans="2:12">
      <c r="B131" s="16"/>
      <c r="C131" s="16" t="s">
        <v>120</v>
      </c>
      <c r="D131" s="11" t="s">
        <v>120</v>
      </c>
      <c r="E131" s="11" t="s">
        <v>203</v>
      </c>
      <c r="F131" s="17">
        <v>0</v>
      </c>
      <c r="G131" s="17"/>
      <c r="H131" s="17"/>
      <c r="I131" s="17"/>
      <c r="J131" s="17"/>
      <c r="K131" s="17">
        <f>F131+H131-J131</f>
        <v>0</v>
      </c>
      <c r="L131" s="13"/>
    </row>
    <row r="132" ht="25.5" customHeight="1" spans="2:12">
      <c r="B132" s="19"/>
      <c r="C132" s="22"/>
      <c r="D132" s="29" t="s">
        <v>122</v>
      </c>
      <c r="E132" s="22"/>
      <c r="F132" s="23">
        <f t="shared" ref="F132:K132" si="37">SUM(F131:F131)</f>
        <v>0</v>
      </c>
      <c r="G132" s="23">
        <f t="shared" si="37"/>
        <v>0</v>
      </c>
      <c r="H132" s="23">
        <f t="shared" si="37"/>
        <v>0</v>
      </c>
      <c r="I132" s="23">
        <f t="shared" si="37"/>
        <v>0</v>
      </c>
      <c r="J132" s="23">
        <f t="shared" si="37"/>
        <v>0</v>
      </c>
      <c r="K132" s="23">
        <f t="shared" si="37"/>
        <v>0</v>
      </c>
      <c r="L132" s="22"/>
    </row>
    <row r="133" ht="24" customHeight="1" spans="2:12">
      <c r="B133" s="24"/>
      <c r="C133" s="27"/>
      <c r="D133" s="36" t="s">
        <v>204</v>
      </c>
      <c r="E133" s="27"/>
      <c r="F133" s="28">
        <f t="shared" ref="F133:K133" si="38">F130+F132</f>
        <v>2152.41</v>
      </c>
      <c r="G133" s="28">
        <f t="shared" si="38"/>
        <v>0</v>
      </c>
      <c r="H133" s="28">
        <f t="shared" si="38"/>
        <v>0</v>
      </c>
      <c r="I133" s="28">
        <f t="shared" si="38"/>
        <v>0</v>
      </c>
      <c r="J133" s="28">
        <f t="shared" si="38"/>
        <v>0</v>
      </c>
      <c r="K133" s="28">
        <f t="shared" si="38"/>
        <v>2152.41</v>
      </c>
      <c r="L133" s="27"/>
    </row>
    <row r="134" ht="24" customHeight="1" spans="2:12">
      <c r="B134" s="14" t="s">
        <v>205</v>
      </c>
      <c r="C134" s="14" t="s">
        <v>16</v>
      </c>
      <c r="D134" s="14" t="s">
        <v>95</v>
      </c>
      <c r="E134" s="14" t="s">
        <v>206</v>
      </c>
      <c r="F134" s="15">
        <v>2338.59</v>
      </c>
      <c r="G134" s="15"/>
      <c r="H134" s="15"/>
      <c r="I134" s="15"/>
      <c r="J134" s="15"/>
      <c r="K134" s="15">
        <f>F134+H134-J134</f>
        <v>2338.59</v>
      </c>
      <c r="L134" s="13"/>
    </row>
    <row r="135" ht="24" customHeight="1" spans="2:12">
      <c r="B135" s="11"/>
      <c r="C135" s="11" t="s">
        <v>16</v>
      </c>
      <c r="D135" s="11" t="s">
        <v>95</v>
      </c>
      <c r="E135" s="11" t="s">
        <v>207</v>
      </c>
      <c r="F135" s="12">
        <v>0.01</v>
      </c>
      <c r="G135" s="12"/>
      <c r="H135" s="12"/>
      <c r="I135" s="12"/>
      <c r="J135" s="12"/>
      <c r="K135" s="15">
        <f>F135+H135-J135</f>
        <v>0.01</v>
      </c>
      <c r="L135" s="13"/>
    </row>
    <row r="136" ht="24" customHeight="1" spans="2:12">
      <c r="B136" s="14"/>
      <c r="C136" s="14" t="s">
        <v>16</v>
      </c>
      <c r="D136" s="14" t="s">
        <v>208</v>
      </c>
      <c r="E136" s="14" t="s">
        <v>209</v>
      </c>
      <c r="F136" s="15">
        <v>9364.17</v>
      </c>
      <c r="G136" s="15"/>
      <c r="H136" s="15"/>
      <c r="I136" s="15"/>
      <c r="J136" s="15"/>
      <c r="K136" s="15">
        <f>F136+H136-J136</f>
        <v>9364.17</v>
      </c>
      <c r="L136" s="13" t="s">
        <v>210</v>
      </c>
    </row>
    <row r="137" ht="24" customHeight="1" spans="2:12">
      <c r="B137" s="14" t="s">
        <v>88</v>
      </c>
      <c r="C137" s="14" t="s">
        <v>16</v>
      </c>
      <c r="D137" s="14" t="s">
        <v>196</v>
      </c>
      <c r="E137" s="14" t="s">
        <v>211</v>
      </c>
      <c r="F137" s="15">
        <v>1001995.66</v>
      </c>
      <c r="G137" s="15"/>
      <c r="H137" s="15"/>
      <c r="I137" s="15"/>
      <c r="J137" s="15"/>
      <c r="K137" s="15">
        <f>F137+H137-J137</f>
        <v>1001995.66</v>
      </c>
      <c r="L137" s="13"/>
    </row>
    <row r="138" ht="24" customHeight="1" spans="2:12">
      <c r="B138" s="14"/>
      <c r="C138" s="14" t="s">
        <v>16</v>
      </c>
      <c r="D138" s="14" t="s">
        <v>212</v>
      </c>
      <c r="E138" s="14" t="s">
        <v>213</v>
      </c>
      <c r="F138" s="15">
        <v>6917.38</v>
      </c>
      <c r="G138" s="15"/>
      <c r="H138" s="15"/>
      <c r="I138" s="15"/>
      <c r="J138" s="15"/>
      <c r="K138" s="15">
        <f>F138+H138-J138</f>
        <v>6917.38</v>
      </c>
      <c r="L138" s="13"/>
    </row>
    <row r="139" ht="25.5" customHeight="1" spans="2:12">
      <c r="B139" s="19"/>
      <c r="C139" s="20"/>
      <c r="D139" s="21" t="s">
        <v>111</v>
      </c>
      <c r="E139" s="22"/>
      <c r="F139" s="23">
        <f t="shared" ref="F139:K139" si="39">SUM(F134:F138)</f>
        <v>1020615.81</v>
      </c>
      <c r="G139" s="23">
        <f t="shared" si="39"/>
        <v>0</v>
      </c>
      <c r="H139" s="23">
        <f t="shared" si="39"/>
        <v>0</v>
      </c>
      <c r="I139" s="23">
        <f t="shared" si="39"/>
        <v>0</v>
      </c>
      <c r="J139" s="23">
        <f t="shared" si="39"/>
        <v>0</v>
      </c>
      <c r="K139" s="23">
        <f t="shared" si="39"/>
        <v>1020615.81</v>
      </c>
      <c r="L139" s="22"/>
    </row>
    <row r="140" ht="24" customHeight="1" spans="2:12">
      <c r="B140" s="11"/>
      <c r="C140" s="11" t="s">
        <v>214</v>
      </c>
      <c r="D140" s="11" t="s">
        <v>214</v>
      </c>
      <c r="E140" s="11" t="s">
        <v>215</v>
      </c>
      <c r="F140" s="12">
        <v>4067038.14</v>
      </c>
      <c r="G140" s="12"/>
      <c r="H140" s="12"/>
      <c r="I140" s="12"/>
      <c r="J140" s="12"/>
      <c r="K140" s="12">
        <f>F140+H140-J140</f>
        <v>4067038.14</v>
      </c>
      <c r="L140" s="13"/>
    </row>
    <row r="141" ht="24" customHeight="1" spans="2:12">
      <c r="B141" s="19"/>
      <c r="C141" s="20"/>
      <c r="D141" s="21" t="s">
        <v>216</v>
      </c>
      <c r="E141" s="22"/>
      <c r="F141" s="23">
        <f t="shared" ref="F141:K141" si="40">SUM(F140:F140)</f>
        <v>4067038.14</v>
      </c>
      <c r="G141" s="23">
        <f t="shared" si="40"/>
        <v>0</v>
      </c>
      <c r="H141" s="23">
        <f t="shared" si="40"/>
        <v>0</v>
      </c>
      <c r="I141" s="23">
        <f t="shared" si="40"/>
        <v>0</v>
      </c>
      <c r="J141" s="23">
        <f t="shared" si="40"/>
        <v>0</v>
      </c>
      <c r="K141" s="23">
        <f t="shared" si="40"/>
        <v>4067038.14</v>
      </c>
      <c r="L141" s="22"/>
    </row>
    <row r="142" ht="24" customHeight="1" spans="2:12">
      <c r="B142" s="14"/>
      <c r="C142" s="14" t="s">
        <v>112</v>
      </c>
      <c r="D142" s="14" t="s">
        <v>112</v>
      </c>
      <c r="E142" s="14" t="s">
        <v>217</v>
      </c>
      <c r="F142" s="15">
        <v>-1245588.89</v>
      </c>
      <c r="G142" s="15"/>
      <c r="H142" s="15"/>
      <c r="I142" s="15"/>
      <c r="J142" s="15"/>
      <c r="K142" s="15">
        <f>F142+H142-J142</f>
        <v>-1245588.89</v>
      </c>
      <c r="L142" s="13"/>
    </row>
    <row r="143" ht="24" customHeight="1" spans="2:12">
      <c r="B143" s="19"/>
      <c r="C143" s="20"/>
      <c r="D143" s="21" t="s">
        <v>119</v>
      </c>
      <c r="E143" s="22"/>
      <c r="F143" s="23">
        <f t="shared" ref="F143:K143" si="41">SUM(F142:F142)</f>
        <v>-1245588.89</v>
      </c>
      <c r="G143" s="23">
        <f t="shared" si="41"/>
        <v>0</v>
      </c>
      <c r="H143" s="23">
        <f t="shared" si="41"/>
        <v>0</v>
      </c>
      <c r="I143" s="23">
        <f t="shared" si="41"/>
        <v>0</v>
      </c>
      <c r="J143" s="23">
        <f t="shared" si="41"/>
        <v>0</v>
      </c>
      <c r="K143" s="23">
        <f t="shared" si="41"/>
        <v>-1245588.89</v>
      </c>
      <c r="L143" s="22"/>
    </row>
    <row r="144" ht="24" customHeight="1" spans="2:12">
      <c r="B144" s="11"/>
      <c r="C144" s="11" t="s">
        <v>120</v>
      </c>
      <c r="D144" s="11" t="s">
        <v>120</v>
      </c>
      <c r="E144" s="11" t="s">
        <v>218</v>
      </c>
      <c r="F144" s="12">
        <v>0</v>
      </c>
      <c r="G144" s="12"/>
      <c r="H144" s="12"/>
      <c r="I144" s="12"/>
      <c r="J144" s="12"/>
      <c r="K144" s="12">
        <f>F144+H144-J144</f>
        <v>0</v>
      </c>
      <c r="L144" s="13"/>
    </row>
    <row r="145" ht="24" customHeight="1" spans="2:12">
      <c r="B145" s="19"/>
      <c r="C145" s="20"/>
      <c r="D145" s="21" t="s">
        <v>122</v>
      </c>
      <c r="E145" s="22"/>
      <c r="F145" s="23">
        <f>SUM(F144:F144)</f>
        <v>0</v>
      </c>
      <c r="G145" s="23">
        <f t="shared" ref="F145:K145" si="42">SUM(G144:G144)</f>
        <v>0</v>
      </c>
      <c r="H145" s="23">
        <f t="shared" si="42"/>
        <v>0</v>
      </c>
      <c r="I145" s="23">
        <f t="shared" si="42"/>
        <v>0</v>
      </c>
      <c r="J145" s="23">
        <f t="shared" si="42"/>
        <v>0</v>
      </c>
      <c r="K145" s="23">
        <f t="shared" si="42"/>
        <v>0</v>
      </c>
      <c r="L145" s="22"/>
    </row>
    <row r="146" ht="24" customHeight="1" spans="2:12">
      <c r="B146" s="24"/>
      <c r="C146" s="25"/>
      <c r="D146" s="26" t="s">
        <v>219</v>
      </c>
      <c r="E146" s="27"/>
      <c r="F146" s="28">
        <f t="shared" ref="F146:K146" si="43">F139+F141+F143+F145</f>
        <v>3842065.06</v>
      </c>
      <c r="G146" s="28">
        <f t="shared" si="43"/>
        <v>0</v>
      </c>
      <c r="H146" s="28">
        <f t="shared" si="43"/>
        <v>0</v>
      </c>
      <c r="I146" s="28">
        <f t="shared" si="43"/>
        <v>0</v>
      </c>
      <c r="J146" s="28">
        <f t="shared" si="43"/>
        <v>0</v>
      </c>
      <c r="K146" s="28">
        <f t="shared" si="43"/>
        <v>3842065.06</v>
      </c>
      <c r="L146" s="27"/>
    </row>
    <row r="147" ht="25.5" customHeight="1" spans="2:12">
      <c r="B147" s="16" t="s">
        <v>220</v>
      </c>
      <c r="C147" s="16" t="s">
        <v>16</v>
      </c>
      <c r="D147" s="11" t="s">
        <v>196</v>
      </c>
      <c r="E147" s="11" t="s">
        <v>221</v>
      </c>
      <c r="F147" s="17">
        <v>636.75</v>
      </c>
      <c r="G147" s="17"/>
      <c r="H147" s="17"/>
      <c r="I147" s="17"/>
      <c r="J147" s="17"/>
      <c r="K147" s="17">
        <f>F147+H147-J147</f>
        <v>636.75</v>
      </c>
      <c r="L147" s="13"/>
    </row>
    <row r="148" ht="24" customHeight="1" spans="2:12">
      <c r="B148" s="11"/>
      <c r="C148" s="11" t="s">
        <v>16</v>
      </c>
      <c r="D148" s="11" t="s">
        <v>222</v>
      </c>
      <c r="E148" s="11" t="s">
        <v>223</v>
      </c>
      <c r="F148" s="12">
        <v>3734.76</v>
      </c>
      <c r="G148" s="12"/>
      <c r="H148" s="12"/>
      <c r="I148" s="12"/>
      <c r="J148" s="12"/>
      <c r="K148" s="17">
        <f>F148+H148-J148</f>
        <v>3734.76</v>
      </c>
      <c r="L148" s="13"/>
    </row>
    <row r="149" ht="24" customHeight="1" spans="2:12">
      <c r="B149" s="19"/>
      <c r="C149" s="22"/>
      <c r="D149" s="29" t="s">
        <v>111</v>
      </c>
      <c r="E149" s="22"/>
      <c r="F149" s="23">
        <f t="shared" ref="F149:K149" si="44">SUM(F147:F148)</f>
        <v>4371.51</v>
      </c>
      <c r="G149" s="23">
        <f t="shared" si="44"/>
        <v>0</v>
      </c>
      <c r="H149" s="23">
        <f t="shared" si="44"/>
        <v>0</v>
      </c>
      <c r="I149" s="23">
        <f t="shared" si="44"/>
        <v>0</v>
      </c>
      <c r="J149" s="23">
        <f t="shared" si="44"/>
        <v>0</v>
      </c>
      <c r="K149" s="23">
        <f t="shared" si="44"/>
        <v>4371.51</v>
      </c>
      <c r="L149" s="22"/>
    </row>
    <row r="150" ht="25.5" customHeight="1" spans="2:12">
      <c r="B150" s="16"/>
      <c r="C150" s="16" t="s">
        <v>120</v>
      </c>
      <c r="D150" s="11" t="s">
        <v>120</v>
      </c>
      <c r="E150" s="11" t="s">
        <v>224</v>
      </c>
      <c r="F150" s="17">
        <v>0</v>
      </c>
      <c r="G150" s="17"/>
      <c r="H150" s="17"/>
      <c r="I150" s="17"/>
      <c r="J150" s="17"/>
      <c r="K150" s="17">
        <f>F150+H150-J150</f>
        <v>0</v>
      </c>
      <c r="L150" s="13"/>
    </row>
    <row r="151" ht="25.5" customHeight="1" spans="2:12">
      <c r="B151" s="19"/>
      <c r="C151" s="22"/>
      <c r="D151" s="29" t="s">
        <v>122</v>
      </c>
      <c r="E151" s="22"/>
      <c r="F151" s="23">
        <f t="shared" ref="F151:K151" si="45">SUM(F150:F150)</f>
        <v>0</v>
      </c>
      <c r="G151" s="23">
        <f t="shared" si="45"/>
        <v>0</v>
      </c>
      <c r="H151" s="23">
        <f t="shared" si="45"/>
        <v>0</v>
      </c>
      <c r="I151" s="23">
        <f t="shared" si="45"/>
        <v>0</v>
      </c>
      <c r="J151" s="23">
        <f t="shared" si="45"/>
        <v>0</v>
      </c>
      <c r="K151" s="23">
        <f t="shared" si="45"/>
        <v>0</v>
      </c>
      <c r="L151" s="22"/>
    </row>
    <row r="152" ht="24" customHeight="1" spans="2:12">
      <c r="B152" s="24"/>
      <c r="C152" s="27"/>
      <c r="D152" s="36" t="s">
        <v>225</v>
      </c>
      <c r="E152" s="27"/>
      <c r="F152" s="28">
        <f t="shared" ref="F152:K152" si="46">F149+F151</f>
        <v>4371.51</v>
      </c>
      <c r="G152" s="28">
        <f t="shared" si="46"/>
        <v>0</v>
      </c>
      <c r="H152" s="28">
        <f t="shared" si="46"/>
        <v>0</v>
      </c>
      <c r="I152" s="28">
        <f t="shared" si="46"/>
        <v>0</v>
      </c>
      <c r="J152" s="28">
        <f t="shared" si="46"/>
        <v>0</v>
      </c>
      <c r="K152" s="28">
        <f t="shared" si="46"/>
        <v>4371.51</v>
      </c>
      <c r="L152" s="27"/>
    </row>
    <row r="153" ht="25.5" customHeight="1" spans="2:12">
      <c r="B153" s="16" t="s">
        <v>226</v>
      </c>
      <c r="C153" s="16" t="s">
        <v>16</v>
      </c>
      <c r="D153" s="11" t="s">
        <v>227</v>
      </c>
      <c r="E153" s="11" t="s">
        <v>228</v>
      </c>
      <c r="F153" s="17">
        <v>5438.98</v>
      </c>
      <c r="G153" s="17"/>
      <c r="H153" s="17"/>
      <c r="I153" s="17"/>
      <c r="J153" s="17"/>
      <c r="K153" s="17">
        <f>F153+H153-J153</f>
        <v>5438.98</v>
      </c>
      <c r="L153" s="13"/>
    </row>
    <row r="154" ht="24" customHeight="1" spans="2:12">
      <c r="B154" s="11"/>
      <c r="C154" s="11" t="s">
        <v>16</v>
      </c>
      <c r="D154" s="11" t="s">
        <v>208</v>
      </c>
      <c r="E154" s="11" t="s">
        <v>229</v>
      </c>
      <c r="F154" s="12">
        <v>8033.33</v>
      </c>
      <c r="G154" s="12"/>
      <c r="H154" s="12"/>
      <c r="I154" s="12"/>
      <c r="J154" s="12"/>
      <c r="K154" s="17">
        <f t="shared" ref="K154:K162" si="47">F154+H154-J154</f>
        <v>8033.33</v>
      </c>
      <c r="L154" s="13"/>
    </row>
    <row r="155" ht="24" customHeight="1" spans="2:12">
      <c r="B155" s="14"/>
      <c r="C155" s="14" t="s">
        <v>16</v>
      </c>
      <c r="D155" s="14" t="s">
        <v>31</v>
      </c>
      <c r="E155" s="14" t="s">
        <v>230</v>
      </c>
      <c r="F155" s="15">
        <v>201.14</v>
      </c>
      <c r="G155" s="15"/>
      <c r="H155" s="15"/>
      <c r="I155" s="15"/>
      <c r="J155" s="15"/>
      <c r="K155" s="17">
        <f t="shared" si="47"/>
        <v>201.14</v>
      </c>
      <c r="L155" s="13"/>
    </row>
    <row r="156" ht="25.5" customHeight="1" spans="2:12">
      <c r="B156" s="16"/>
      <c r="C156" s="16" t="s">
        <v>16</v>
      </c>
      <c r="D156" s="11" t="s">
        <v>164</v>
      </c>
      <c r="E156" s="11" t="s">
        <v>231</v>
      </c>
      <c r="F156" s="17">
        <v>17635.67</v>
      </c>
      <c r="G156" s="17"/>
      <c r="H156" s="17"/>
      <c r="I156" s="17"/>
      <c r="J156" s="17"/>
      <c r="K156" s="17">
        <f t="shared" si="47"/>
        <v>17635.67</v>
      </c>
      <c r="L156" s="13"/>
    </row>
    <row r="157" ht="24" customHeight="1" spans="2:12">
      <c r="B157" s="14"/>
      <c r="C157" s="14" t="s">
        <v>16</v>
      </c>
      <c r="D157" s="14" t="s">
        <v>166</v>
      </c>
      <c r="E157" s="14" t="s">
        <v>232</v>
      </c>
      <c r="F157" s="15">
        <v>4630.76</v>
      </c>
      <c r="G157" s="15"/>
      <c r="H157" s="15"/>
      <c r="I157" s="15"/>
      <c r="J157" s="15"/>
      <c r="K157" s="17">
        <f t="shared" si="47"/>
        <v>4630.76</v>
      </c>
      <c r="L157" s="13"/>
    </row>
    <row r="158" ht="25.5" customHeight="1" spans="2:12">
      <c r="B158" s="16"/>
      <c r="C158" s="16" t="s">
        <v>16</v>
      </c>
      <c r="D158" s="11" t="s">
        <v>233</v>
      </c>
      <c r="E158" s="11" t="s">
        <v>234</v>
      </c>
      <c r="F158" s="17">
        <v>18396.76</v>
      </c>
      <c r="G158" s="17"/>
      <c r="H158" s="17"/>
      <c r="I158" s="17"/>
      <c r="J158" s="17"/>
      <c r="K158" s="17">
        <f t="shared" si="47"/>
        <v>18396.76</v>
      </c>
      <c r="L158" s="13"/>
    </row>
    <row r="159" ht="24" customHeight="1" spans="2:12">
      <c r="B159" s="14"/>
      <c r="C159" s="14" t="s">
        <v>16</v>
      </c>
      <c r="D159" s="14" t="s">
        <v>56</v>
      </c>
      <c r="E159" s="14" t="s">
        <v>235</v>
      </c>
      <c r="F159" s="15">
        <v>0</v>
      </c>
      <c r="G159" s="15"/>
      <c r="H159" s="15"/>
      <c r="I159" s="15"/>
      <c r="J159" s="15"/>
      <c r="K159" s="17">
        <f t="shared" si="47"/>
        <v>0</v>
      </c>
      <c r="L159" s="13"/>
    </row>
    <row r="160" ht="24" customHeight="1" spans="2:12">
      <c r="B160" s="11"/>
      <c r="C160" s="11" t="s">
        <v>16</v>
      </c>
      <c r="D160" s="11" t="s">
        <v>236</v>
      </c>
      <c r="E160" s="11" t="s">
        <v>237</v>
      </c>
      <c r="F160" s="12">
        <v>2542.64</v>
      </c>
      <c r="G160" s="12"/>
      <c r="H160" s="12"/>
      <c r="I160" s="12"/>
      <c r="J160" s="12"/>
      <c r="K160" s="17">
        <f t="shared" si="47"/>
        <v>2542.64</v>
      </c>
      <c r="L160" s="13"/>
    </row>
    <row r="161" ht="24" customHeight="1" spans="2:12">
      <c r="B161" s="14"/>
      <c r="C161" s="14" t="s">
        <v>16</v>
      </c>
      <c r="D161" s="14" t="s">
        <v>238</v>
      </c>
      <c r="E161" s="14" t="s">
        <v>239</v>
      </c>
      <c r="F161" s="15">
        <v>0</v>
      </c>
      <c r="G161" s="15"/>
      <c r="H161" s="15"/>
      <c r="I161" s="15"/>
      <c r="J161" s="15"/>
      <c r="K161" s="17">
        <f t="shared" si="47"/>
        <v>0</v>
      </c>
      <c r="L161" s="13"/>
    </row>
    <row r="162" ht="24" customHeight="1" spans="2:12">
      <c r="B162" s="11"/>
      <c r="C162" s="11" t="s">
        <v>16</v>
      </c>
      <c r="D162" s="11" t="s">
        <v>240</v>
      </c>
      <c r="E162" s="11" t="s">
        <v>241</v>
      </c>
      <c r="F162" s="12">
        <v>477.95</v>
      </c>
      <c r="G162" s="12"/>
      <c r="H162" s="12"/>
      <c r="I162" s="12"/>
      <c r="J162" s="12"/>
      <c r="K162" s="17">
        <f t="shared" si="47"/>
        <v>477.95</v>
      </c>
      <c r="L162" s="13"/>
    </row>
    <row r="163" ht="24" customHeight="1" spans="2:12">
      <c r="B163" s="19"/>
      <c r="C163" s="22"/>
      <c r="D163" s="29" t="s">
        <v>111</v>
      </c>
      <c r="E163" s="22"/>
      <c r="F163" s="23">
        <f t="shared" ref="F163:K163" si="48">SUM(F153:F162)</f>
        <v>57357.23</v>
      </c>
      <c r="G163" s="23">
        <f t="shared" si="48"/>
        <v>0</v>
      </c>
      <c r="H163" s="23">
        <f t="shared" si="48"/>
        <v>0</v>
      </c>
      <c r="I163" s="23">
        <f t="shared" si="48"/>
        <v>0</v>
      </c>
      <c r="J163" s="23">
        <f t="shared" si="48"/>
        <v>0</v>
      </c>
      <c r="K163" s="23">
        <f t="shared" si="48"/>
        <v>57357.23</v>
      </c>
      <c r="L163" s="22"/>
    </row>
    <row r="164" ht="24" customHeight="1" spans="2:12">
      <c r="B164" s="14"/>
      <c r="C164" s="14" t="s">
        <v>112</v>
      </c>
      <c r="D164" s="14" t="s">
        <v>112</v>
      </c>
      <c r="E164" s="14" t="s">
        <v>242</v>
      </c>
      <c r="F164" s="15">
        <v>18212.13</v>
      </c>
      <c r="G164" s="15"/>
      <c r="H164" s="15"/>
      <c r="I164" s="15"/>
      <c r="J164" s="15"/>
      <c r="K164" s="15">
        <f>F164+H164-J164</f>
        <v>18212.13</v>
      </c>
      <c r="L164" s="13"/>
    </row>
    <row r="165" ht="24" customHeight="1" spans="2:12">
      <c r="B165" s="19"/>
      <c r="C165" s="22"/>
      <c r="D165" s="29" t="s">
        <v>119</v>
      </c>
      <c r="E165" s="22"/>
      <c r="F165" s="23">
        <f t="shared" ref="F165:K165" si="49">SUM(F164:F164)</f>
        <v>18212.13</v>
      </c>
      <c r="G165" s="23">
        <f t="shared" si="49"/>
        <v>0</v>
      </c>
      <c r="H165" s="23">
        <f t="shared" si="49"/>
        <v>0</v>
      </c>
      <c r="I165" s="23">
        <f t="shared" si="49"/>
        <v>0</v>
      </c>
      <c r="J165" s="23">
        <f t="shared" si="49"/>
        <v>0</v>
      </c>
      <c r="K165" s="23">
        <f t="shared" si="49"/>
        <v>18212.13</v>
      </c>
      <c r="L165" s="22"/>
    </row>
    <row r="166" ht="24" customHeight="1" spans="2:12">
      <c r="B166" s="11"/>
      <c r="C166" s="11" t="s">
        <v>120</v>
      </c>
      <c r="D166" s="11" t="s">
        <v>120</v>
      </c>
      <c r="E166" s="11" t="s">
        <v>243</v>
      </c>
      <c r="F166" s="12">
        <v>0</v>
      </c>
      <c r="G166" s="12"/>
      <c r="H166" s="12"/>
      <c r="I166" s="12"/>
      <c r="J166" s="12"/>
      <c r="K166" s="12">
        <f>F166+H166-J166</f>
        <v>0</v>
      </c>
      <c r="L166" s="13"/>
    </row>
    <row r="167" ht="24" customHeight="1" spans="2:12">
      <c r="B167" s="19"/>
      <c r="C167" s="22"/>
      <c r="D167" s="29" t="s">
        <v>122</v>
      </c>
      <c r="E167" s="22"/>
      <c r="F167" s="23">
        <f t="shared" ref="F167:K167" si="50">SUM(F166:F166)</f>
        <v>0</v>
      </c>
      <c r="G167" s="23">
        <f t="shared" si="50"/>
        <v>0</v>
      </c>
      <c r="H167" s="23">
        <f t="shared" si="50"/>
        <v>0</v>
      </c>
      <c r="I167" s="23">
        <f t="shared" si="50"/>
        <v>0</v>
      </c>
      <c r="J167" s="23">
        <f t="shared" si="50"/>
        <v>0</v>
      </c>
      <c r="K167" s="23">
        <f t="shared" si="50"/>
        <v>0</v>
      </c>
      <c r="L167" s="22"/>
    </row>
    <row r="168" ht="25.5" customHeight="1" spans="2:12">
      <c r="B168" s="24"/>
      <c r="C168" s="27"/>
      <c r="D168" s="36" t="s">
        <v>244</v>
      </c>
      <c r="E168" s="27"/>
      <c r="F168" s="28">
        <f t="shared" ref="F168:K168" si="51">F163+F165+F167</f>
        <v>75569.36</v>
      </c>
      <c r="G168" s="28">
        <f t="shared" si="51"/>
        <v>0</v>
      </c>
      <c r="H168" s="28">
        <f t="shared" si="51"/>
        <v>0</v>
      </c>
      <c r="I168" s="28">
        <f t="shared" si="51"/>
        <v>0</v>
      </c>
      <c r="J168" s="28">
        <f t="shared" si="51"/>
        <v>0</v>
      </c>
      <c r="K168" s="28">
        <f t="shared" si="51"/>
        <v>75569.36</v>
      </c>
      <c r="L168" s="27"/>
    </row>
    <row r="169" ht="24" customHeight="1" spans="2:12">
      <c r="B169" s="14" t="s">
        <v>245</v>
      </c>
      <c r="C169" s="14" t="s">
        <v>16</v>
      </c>
      <c r="D169" s="14" t="s">
        <v>246</v>
      </c>
      <c r="E169" s="14" t="s">
        <v>247</v>
      </c>
      <c r="F169" s="15">
        <v>1401.52</v>
      </c>
      <c r="G169" s="15"/>
      <c r="H169" s="15"/>
      <c r="I169" s="15"/>
      <c r="J169" s="15"/>
      <c r="K169" s="15">
        <f>F169+H169-J169</f>
        <v>1401.52</v>
      </c>
      <c r="L169" s="13"/>
    </row>
    <row r="170" ht="24" customHeight="1" spans="2:12">
      <c r="B170" s="11"/>
      <c r="C170" s="11" t="s">
        <v>16</v>
      </c>
      <c r="D170" s="11" t="s">
        <v>248</v>
      </c>
      <c r="E170" s="11" t="s">
        <v>249</v>
      </c>
      <c r="F170" s="12">
        <v>6880.07</v>
      </c>
      <c r="G170" s="12"/>
      <c r="H170" s="12"/>
      <c r="I170" s="12"/>
      <c r="J170" s="12"/>
      <c r="K170" s="15">
        <f>F170+H170-J170</f>
        <v>6880.07</v>
      </c>
      <c r="L170" s="13"/>
    </row>
    <row r="171" ht="24" customHeight="1" spans="2:12">
      <c r="B171" s="14"/>
      <c r="C171" s="14" t="s">
        <v>16</v>
      </c>
      <c r="D171" s="14" t="s">
        <v>222</v>
      </c>
      <c r="E171" s="14" t="s">
        <v>250</v>
      </c>
      <c r="F171" s="15">
        <v>239.64</v>
      </c>
      <c r="G171" s="15"/>
      <c r="H171" s="15"/>
      <c r="I171" s="15"/>
      <c r="J171" s="15"/>
      <c r="K171" s="15">
        <f>F171+H171-J171</f>
        <v>239.64</v>
      </c>
      <c r="L171" s="13"/>
    </row>
    <row r="172" ht="24" customHeight="1" spans="2:12">
      <c r="B172" s="19"/>
      <c r="C172" s="22"/>
      <c r="D172" s="29" t="s">
        <v>111</v>
      </c>
      <c r="E172" s="22"/>
      <c r="F172" s="23">
        <f t="shared" ref="F172:K172" si="52">SUM(F169:F171)</f>
        <v>8521.23</v>
      </c>
      <c r="G172" s="23">
        <f t="shared" si="52"/>
        <v>0</v>
      </c>
      <c r="H172" s="23">
        <f t="shared" si="52"/>
        <v>0</v>
      </c>
      <c r="I172" s="23">
        <f t="shared" si="52"/>
        <v>0</v>
      </c>
      <c r="J172" s="23">
        <f t="shared" si="52"/>
        <v>0</v>
      </c>
      <c r="K172" s="23">
        <f t="shared" si="52"/>
        <v>8521.23</v>
      </c>
      <c r="L172" s="22"/>
    </row>
    <row r="173" ht="24" customHeight="1" spans="2:12">
      <c r="B173" s="11"/>
      <c r="C173" s="11" t="s">
        <v>120</v>
      </c>
      <c r="D173" s="11" t="s">
        <v>120</v>
      </c>
      <c r="E173" s="11" t="s">
        <v>251</v>
      </c>
      <c r="F173" s="12">
        <v>0</v>
      </c>
      <c r="G173" s="12"/>
      <c r="H173" s="12"/>
      <c r="I173" s="12"/>
      <c r="J173" s="12"/>
      <c r="K173" s="12">
        <f>F173+H173-J173</f>
        <v>0</v>
      </c>
      <c r="L173" s="13"/>
    </row>
    <row r="174" ht="24" customHeight="1" spans="2:12">
      <c r="B174" s="19"/>
      <c r="C174" s="22"/>
      <c r="D174" s="29" t="s">
        <v>122</v>
      </c>
      <c r="E174" s="22"/>
      <c r="F174" s="23">
        <f t="shared" ref="F174:K174" si="53">SUM(F173:F173)</f>
        <v>0</v>
      </c>
      <c r="G174" s="23">
        <f t="shared" si="53"/>
        <v>0</v>
      </c>
      <c r="H174" s="23">
        <f t="shared" si="53"/>
        <v>0</v>
      </c>
      <c r="I174" s="23">
        <f t="shared" si="53"/>
        <v>0</v>
      </c>
      <c r="J174" s="23">
        <f t="shared" si="53"/>
        <v>0</v>
      </c>
      <c r="K174" s="23">
        <f t="shared" si="53"/>
        <v>0</v>
      </c>
      <c r="L174" s="22"/>
    </row>
    <row r="175" ht="25.5" customHeight="1" spans="2:12">
      <c r="B175" s="24"/>
      <c r="C175" s="27"/>
      <c r="D175" s="36" t="s">
        <v>252</v>
      </c>
      <c r="E175" s="27"/>
      <c r="F175" s="28">
        <f t="shared" ref="F175:K175" si="54">F172+F174</f>
        <v>8521.23</v>
      </c>
      <c r="G175" s="28">
        <f t="shared" si="54"/>
        <v>0</v>
      </c>
      <c r="H175" s="28">
        <f t="shared" si="54"/>
        <v>0</v>
      </c>
      <c r="I175" s="28">
        <f t="shared" si="54"/>
        <v>0</v>
      </c>
      <c r="J175" s="28">
        <f t="shared" si="54"/>
        <v>0</v>
      </c>
      <c r="K175" s="28">
        <f t="shared" si="54"/>
        <v>8521.23</v>
      </c>
      <c r="L175" s="27"/>
    </row>
    <row r="176" ht="24" customHeight="1" spans="2:12">
      <c r="B176" s="11" t="s">
        <v>253</v>
      </c>
      <c r="C176" s="11" t="s">
        <v>16</v>
      </c>
      <c r="D176" s="11" t="s">
        <v>246</v>
      </c>
      <c r="E176" s="11" t="s">
        <v>254</v>
      </c>
      <c r="F176" s="12">
        <v>1461.57</v>
      </c>
      <c r="G176" s="12"/>
      <c r="H176" s="12"/>
      <c r="I176" s="12"/>
      <c r="J176" s="12"/>
      <c r="K176" s="12">
        <f>F176+H176-J176</f>
        <v>1461.57</v>
      </c>
      <c r="L176" s="13"/>
    </row>
    <row r="177" ht="25.5" customHeight="1" spans="2:12">
      <c r="B177" s="33"/>
      <c r="C177" s="33" t="s">
        <v>16</v>
      </c>
      <c r="D177" s="33" t="s">
        <v>58</v>
      </c>
      <c r="E177" s="33" t="s">
        <v>255</v>
      </c>
      <c r="F177" s="34">
        <v>0</v>
      </c>
      <c r="G177" s="34"/>
      <c r="H177" s="34"/>
      <c r="I177" s="34"/>
      <c r="J177" s="34"/>
      <c r="K177" s="12">
        <f>F177+H177-J177</f>
        <v>0</v>
      </c>
      <c r="L177" s="13"/>
    </row>
    <row r="178" ht="24" customHeight="1" spans="2:12">
      <c r="B178" s="33"/>
      <c r="C178" s="33" t="s">
        <v>16</v>
      </c>
      <c r="D178" s="33" t="s">
        <v>37</v>
      </c>
      <c r="E178" s="33" t="s">
        <v>256</v>
      </c>
      <c r="F178" s="34">
        <v>9779.29</v>
      </c>
      <c r="G178" s="34"/>
      <c r="H178" s="34"/>
      <c r="I178" s="34"/>
      <c r="J178" s="34"/>
      <c r="K178" s="12">
        <f>F178+H178-J178</f>
        <v>9779.29</v>
      </c>
      <c r="L178" s="13"/>
    </row>
    <row r="179" ht="24" customHeight="1" spans="2:12">
      <c r="B179" s="11"/>
      <c r="C179" s="11" t="s">
        <v>16</v>
      </c>
      <c r="D179" s="11" t="s">
        <v>56</v>
      </c>
      <c r="E179" s="11" t="s">
        <v>257</v>
      </c>
      <c r="F179" s="12">
        <v>4965.28</v>
      </c>
      <c r="G179" s="37"/>
      <c r="H179" s="37"/>
      <c r="I179" s="37"/>
      <c r="J179" s="37"/>
      <c r="K179" s="12">
        <f>F179+H179-J179</f>
        <v>4965.28</v>
      </c>
      <c r="L179" s="13"/>
    </row>
    <row r="180" ht="24" customHeight="1" spans="2:12">
      <c r="B180" s="11"/>
      <c r="C180" s="11" t="s">
        <v>16</v>
      </c>
      <c r="D180" s="11" t="s">
        <v>258</v>
      </c>
      <c r="E180" s="11" t="s">
        <v>259</v>
      </c>
      <c r="F180" s="12">
        <v>975</v>
      </c>
      <c r="G180" s="37"/>
      <c r="H180" s="37"/>
      <c r="I180" s="37"/>
      <c r="J180" s="37"/>
      <c r="K180" s="12">
        <f>F180+H180-J180</f>
        <v>975</v>
      </c>
      <c r="L180" s="13"/>
    </row>
    <row r="181" ht="24" customHeight="1" spans="2:12">
      <c r="B181" s="19"/>
      <c r="C181" s="22"/>
      <c r="D181" s="19" t="s">
        <v>111</v>
      </c>
      <c r="E181" s="22"/>
      <c r="F181" s="23">
        <f t="shared" ref="F181:K181" si="55">SUM(F176:F180)</f>
        <v>17181.14</v>
      </c>
      <c r="G181" s="23">
        <f t="shared" si="55"/>
        <v>0</v>
      </c>
      <c r="H181" s="23">
        <f t="shared" si="55"/>
        <v>0</v>
      </c>
      <c r="I181" s="23">
        <f t="shared" si="55"/>
        <v>0</v>
      </c>
      <c r="J181" s="23">
        <f t="shared" si="55"/>
        <v>0</v>
      </c>
      <c r="K181" s="23">
        <f t="shared" si="55"/>
        <v>17181.14</v>
      </c>
      <c r="L181" s="22"/>
    </row>
    <row r="182" ht="24" customHeight="1" spans="2:12">
      <c r="B182" s="11"/>
      <c r="C182" s="11" t="s">
        <v>112</v>
      </c>
      <c r="D182" s="11" t="s">
        <v>112</v>
      </c>
      <c r="E182" s="11" t="s">
        <v>260</v>
      </c>
      <c r="F182" s="12">
        <v>46.11</v>
      </c>
      <c r="G182" s="37"/>
      <c r="H182" s="37"/>
      <c r="I182" s="37"/>
      <c r="J182" s="37"/>
      <c r="K182" s="12">
        <f>F182+H182-J182</f>
        <v>46.11</v>
      </c>
      <c r="L182" s="13"/>
    </row>
    <row r="183" ht="24" customHeight="1" spans="2:12">
      <c r="B183" s="19"/>
      <c r="C183" s="22"/>
      <c r="D183" s="19" t="s">
        <v>119</v>
      </c>
      <c r="E183" s="22"/>
      <c r="F183" s="23">
        <f t="shared" ref="F183:K183" si="56">SUM(F182:F182)</f>
        <v>46.11</v>
      </c>
      <c r="G183" s="23">
        <f t="shared" si="56"/>
        <v>0</v>
      </c>
      <c r="H183" s="23">
        <f t="shared" si="56"/>
        <v>0</v>
      </c>
      <c r="I183" s="23">
        <f t="shared" si="56"/>
        <v>0</v>
      </c>
      <c r="J183" s="23">
        <f t="shared" si="56"/>
        <v>0</v>
      </c>
      <c r="K183" s="23">
        <f t="shared" si="56"/>
        <v>46.11</v>
      </c>
      <c r="L183" s="22"/>
    </row>
    <row r="184" ht="24" customHeight="1" spans="2:12">
      <c r="B184" s="11"/>
      <c r="C184" s="11" t="s">
        <v>120</v>
      </c>
      <c r="D184" s="11" t="s">
        <v>120</v>
      </c>
      <c r="E184" s="11" t="s">
        <v>261</v>
      </c>
      <c r="F184" s="12">
        <v>0</v>
      </c>
      <c r="G184" s="37"/>
      <c r="H184" s="37"/>
      <c r="I184" s="37"/>
      <c r="J184" s="37"/>
      <c r="K184" s="12">
        <f>F184+H184-J184</f>
        <v>0</v>
      </c>
      <c r="L184" s="13"/>
    </row>
    <row r="185" ht="24" customHeight="1" spans="2:12">
      <c r="B185" s="19"/>
      <c r="C185" s="22"/>
      <c r="D185" s="19" t="s">
        <v>122</v>
      </c>
      <c r="E185" s="22"/>
      <c r="F185" s="23">
        <f t="shared" ref="F185:K185" si="57">SUM(F184:F184)</f>
        <v>0</v>
      </c>
      <c r="G185" s="23">
        <f t="shared" si="57"/>
        <v>0</v>
      </c>
      <c r="H185" s="23">
        <f t="shared" si="57"/>
        <v>0</v>
      </c>
      <c r="I185" s="23">
        <f t="shared" si="57"/>
        <v>0</v>
      </c>
      <c r="J185" s="23">
        <f t="shared" si="57"/>
        <v>0</v>
      </c>
      <c r="K185" s="23">
        <f t="shared" si="57"/>
        <v>0</v>
      </c>
      <c r="L185" s="22"/>
    </row>
    <row r="186" ht="24" customHeight="1" spans="2:12">
      <c r="B186" s="24"/>
      <c r="C186" s="27"/>
      <c r="D186" s="24" t="s">
        <v>262</v>
      </c>
      <c r="E186" s="27"/>
      <c r="F186" s="28">
        <f t="shared" ref="F186:K186" si="58">F181+F183+F185</f>
        <v>17227.25</v>
      </c>
      <c r="G186" s="28">
        <f t="shared" si="58"/>
        <v>0</v>
      </c>
      <c r="H186" s="28">
        <f t="shared" si="58"/>
        <v>0</v>
      </c>
      <c r="I186" s="28">
        <f t="shared" si="58"/>
        <v>0</v>
      </c>
      <c r="J186" s="28">
        <f t="shared" si="58"/>
        <v>0</v>
      </c>
      <c r="K186" s="28">
        <f t="shared" si="58"/>
        <v>17227.25</v>
      </c>
      <c r="L186" s="27"/>
    </row>
    <row r="187" ht="24" customHeight="1" spans="2:12">
      <c r="B187" s="11" t="s">
        <v>263</v>
      </c>
      <c r="C187" s="11" t="s">
        <v>16</v>
      </c>
      <c r="D187" s="11" t="s">
        <v>246</v>
      </c>
      <c r="E187" s="11" t="s">
        <v>264</v>
      </c>
      <c r="F187" s="12">
        <v>1052.27</v>
      </c>
      <c r="G187" s="37"/>
      <c r="H187" s="37"/>
      <c r="I187" s="37"/>
      <c r="J187" s="37"/>
      <c r="K187" s="12">
        <f>F187+H187-J187</f>
        <v>1052.27</v>
      </c>
      <c r="L187" s="13"/>
    </row>
    <row r="188" ht="24" customHeight="1" spans="2:12">
      <c r="B188" s="11"/>
      <c r="C188" s="11" t="s">
        <v>16</v>
      </c>
      <c r="D188" s="11" t="s">
        <v>56</v>
      </c>
      <c r="E188" s="11" t="s">
        <v>265</v>
      </c>
      <c r="F188" s="12">
        <v>13719.14</v>
      </c>
      <c r="G188" s="37"/>
      <c r="H188" s="37"/>
      <c r="I188" s="37"/>
      <c r="J188" s="37"/>
      <c r="K188" s="12">
        <f t="shared" ref="K188:K194" si="59">F188+H188-J188</f>
        <v>13719.14</v>
      </c>
      <c r="L188" s="13"/>
    </row>
    <row r="189" ht="24" customHeight="1" spans="2:12">
      <c r="B189" s="11"/>
      <c r="C189" s="11" t="s">
        <v>16</v>
      </c>
      <c r="D189" s="11" t="s">
        <v>35</v>
      </c>
      <c r="E189" s="11" t="s">
        <v>266</v>
      </c>
      <c r="F189" s="12">
        <v>3468.79</v>
      </c>
      <c r="G189" s="37"/>
      <c r="H189" s="37"/>
      <c r="I189" s="37"/>
      <c r="J189" s="37"/>
      <c r="K189" s="12">
        <f t="shared" si="59"/>
        <v>3468.79</v>
      </c>
      <c r="L189" s="13"/>
    </row>
    <row r="190" ht="24" customHeight="1" spans="2:12">
      <c r="B190" s="11"/>
      <c r="C190" s="11" t="s">
        <v>16</v>
      </c>
      <c r="D190" s="11" t="s">
        <v>267</v>
      </c>
      <c r="E190" s="11" t="s">
        <v>268</v>
      </c>
      <c r="F190" s="12">
        <v>0</v>
      </c>
      <c r="G190" s="37"/>
      <c r="H190" s="37"/>
      <c r="I190" s="37"/>
      <c r="J190" s="37"/>
      <c r="K190" s="12">
        <f t="shared" si="59"/>
        <v>0</v>
      </c>
      <c r="L190" s="13"/>
    </row>
    <row r="191" ht="24" customHeight="1" spans="2:12">
      <c r="B191" s="11"/>
      <c r="C191" s="11" t="s">
        <v>16</v>
      </c>
      <c r="D191" s="11" t="s">
        <v>269</v>
      </c>
      <c r="E191" s="11" t="s">
        <v>270</v>
      </c>
      <c r="F191" s="12">
        <v>9.16</v>
      </c>
      <c r="G191" s="37"/>
      <c r="H191" s="37"/>
      <c r="I191" s="37"/>
      <c r="J191" s="37"/>
      <c r="K191" s="12">
        <f t="shared" si="59"/>
        <v>9.16</v>
      </c>
      <c r="L191" s="13"/>
    </row>
    <row r="192" ht="24" customHeight="1" spans="2:12">
      <c r="B192" s="11"/>
      <c r="C192" s="11" t="s">
        <v>16</v>
      </c>
      <c r="D192" s="11" t="s">
        <v>236</v>
      </c>
      <c r="E192" s="11" t="s">
        <v>271</v>
      </c>
      <c r="F192" s="12">
        <v>5601105.69</v>
      </c>
      <c r="G192" s="37"/>
      <c r="H192" s="37"/>
      <c r="I192" s="37"/>
      <c r="J192" s="37"/>
      <c r="K192" s="12">
        <f t="shared" si="59"/>
        <v>5601105.69</v>
      </c>
      <c r="L192" s="13"/>
    </row>
    <row r="193" ht="24" customHeight="1" spans="2:12">
      <c r="B193" s="11"/>
      <c r="C193" s="11" t="s">
        <v>16</v>
      </c>
      <c r="D193" s="11" t="s">
        <v>233</v>
      </c>
      <c r="E193" s="11" t="s">
        <v>272</v>
      </c>
      <c r="F193" s="12">
        <v>2433.96</v>
      </c>
      <c r="G193" s="37"/>
      <c r="H193" s="37"/>
      <c r="I193" s="37"/>
      <c r="J193" s="37"/>
      <c r="K193" s="12">
        <f t="shared" si="59"/>
        <v>2433.96</v>
      </c>
      <c r="L193" s="13"/>
    </row>
    <row r="194" ht="24" customHeight="1" spans="2:12">
      <c r="B194" s="11"/>
      <c r="C194" s="11" t="s">
        <v>16</v>
      </c>
      <c r="D194" s="11" t="s">
        <v>37</v>
      </c>
      <c r="E194" s="11" t="s">
        <v>273</v>
      </c>
      <c r="F194" s="12">
        <v>105</v>
      </c>
      <c r="G194" s="37"/>
      <c r="H194" s="37"/>
      <c r="I194" s="37"/>
      <c r="J194" s="37"/>
      <c r="K194" s="12">
        <f t="shared" si="59"/>
        <v>105</v>
      </c>
      <c r="L194" s="13"/>
    </row>
    <row r="195" ht="24" customHeight="1" spans="2:12">
      <c r="B195" s="19"/>
      <c r="C195" s="22"/>
      <c r="D195" s="19" t="s">
        <v>111</v>
      </c>
      <c r="E195" s="22"/>
      <c r="F195" s="23">
        <f t="shared" ref="F195:K195" si="60">SUM(F187:F194)</f>
        <v>5621894.01</v>
      </c>
      <c r="G195" s="23">
        <f t="shared" si="60"/>
        <v>0</v>
      </c>
      <c r="H195" s="23">
        <f t="shared" si="60"/>
        <v>0</v>
      </c>
      <c r="I195" s="23">
        <f t="shared" si="60"/>
        <v>0</v>
      </c>
      <c r="J195" s="23">
        <f t="shared" si="60"/>
        <v>0</v>
      </c>
      <c r="K195" s="23">
        <f t="shared" si="60"/>
        <v>5621894.01</v>
      </c>
      <c r="L195" s="22"/>
    </row>
    <row r="196" ht="24" customHeight="1" spans="2:12">
      <c r="B196" s="11"/>
      <c r="C196" s="11" t="s">
        <v>120</v>
      </c>
      <c r="D196" s="11" t="s">
        <v>120</v>
      </c>
      <c r="E196" s="11" t="s">
        <v>274</v>
      </c>
      <c r="F196" s="12">
        <v>0</v>
      </c>
      <c r="G196" s="37"/>
      <c r="H196" s="37"/>
      <c r="I196" s="37"/>
      <c r="J196" s="37"/>
      <c r="K196" s="12">
        <f>F196+H196-J196</f>
        <v>0</v>
      </c>
      <c r="L196" s="13"/>
    </row>
    <row r="197" ht="24" customHeight="1" spans="2:12">
      <c r="B197" s="19"/>
      <c r="C197" s="22"/>
      <c r="D197" s="19" t="s">
        <v>122</v>
      </c>
      <c r="E197" s="22"/>
      <c r="F197" s="23">
        <f t="shared" ref="F197:K197" si="61">SUM(F196:F196)</f>
        <v>0</v>
      </c>
      <c r="G197" s="23">
        <f t="shared" si="61"/>
        <v>0</v>
      </c>
      <c r="H197" s="23">
        <f t="shared" si="61"/>
        <v>0</v>
      </c>
      <c r="I197" s="23">
        <f t="shared" si="61"/>
        <v>0</v>
      </c>
      <c r="J197" s="23">
        <f t="shared" si="61"/>
        <v>0</v>
      </c>
      <c r="K197" s="23">
        <f t="shared" si="61"/>
        <v>0</v>
      </c>
      <c r="L197" s="22"/>
    </row>
    <row r="198" ht="24" customHeight="1" spans="2:12">
      <c r="B198" s="24"/>
      <c r="C198" s="27"/>
      <c r="D198" s="24" t="s">
        <v>275</v>
      </c>
      <c r="E198" s="27"/>
      <c r="F198" s="28">
        <f t="shared" ref="F198:K198" si="62">F195+F197</f>
        <v>5621894.01</v>
      </c>
      <c r="G198" s="28">
        <f t="shared" si="62"/>
        <v>0</v>
      </c>
      <c r="H198" s="28">
        <f t="shared" si="62"/>
        <v>0</v>
      </c>
      <c r="I198" s="28">
        <f t="shared" si="62"/>
        <v>0</v>
      </c>
      <c r="J198" s="28">
        <f t="shared" si="62"/>
        <v>0</v>
      </c>
      <c r="K198" s="28">
        <f t="shared" si="62"/>
        <v>5621894.01</v>
      </c>
      <c r="L198" s="27"/>
    </row>
    <row r="199" ht="24" customHeight="1" spans="2:12">
      <c r="B199" s="11" t="s">
        <v>276</v>
      </c>
      <c r="C199" s="11" t="s">
        <v>16</v>
      </c>
      <c r="D199" s="11" t="s">
        <v>196</v>
      </c>
      <c r="E199" s="11" t="s">
        <v>277</v>
      </c>
      <c r="F199" s="12">
        <v>1772.21</v>
      </c>
      <c r="G199" s="37"/>
      <c r="H199" s="37"/>
      <c r="I199" s="37"/>
      <c r="J199" s="37"/>
      <c r="K199" s="12">
        <f>F199+H199-J199</f>
        <v>1772.21</v>
      </c>
      <c r="L199" s="13"/>
    </row>
    <row r="200" ht="24" customHeight="1" spans="2:12">
      <c r="B200" s="11"/>
      <c r="C200" s="11" t="s">
        <v>16</v>
      </c>
      <c r="D200" s="11" t="s">
        <v>31</v>
      </c>
      <c r="E200" s="11" t="s">
        <v>278</v>
      </c>
      <c r="F200" s="12">
        <v>0</v>
      </c>
      <c r="G200" s="37"/>
      <c r="H200" s="37"/>
      <c r="I200" s="37"/>
      <c r="J200" s="37"/>
      <c r="K200" s="12">
        <f>F200+H200-J200</f>
        <v>0</v>
      </c>
      <c r="L200" s="13"/>
    </row>
    <row r="201" ht="24" customHeight="1" spans="2:12">
      <c r="B201" s="11"/>
      <c r="C201" s="11" t="s">
        <v>16</v>
      </c>
      <c r="D201" s="11" t="s">
        <v>279</v>
      </c>
      <c r="E201" s="11" t="s">
        <v>280</v>
      </c>
      <c r="F201" s="12">
        <v>2020.34</v>
      </c>
      <c r="G201" s="37"/>
      <c r="H201" s="37"/>
      <c r="I201" s="37"/>
      <c r="J201" s="37"/>
      <c r="K201" s="12">
        <f>F201+H201-J201</f>
        <v>2020.34</v>
      </c>
      <c r="L201" s="13"/>
    </row>
    <row r="202" ht="24" customHeight="1" spans="2:12">
      <c r="B202" s="11"/>
      <c r="C202" s="11" t="s">
        <v>16</v>
      </c>
      <c r="D202" s="11" t="s">
        <v>124</v>
      </c>
      <c r="E202" s="11" t="s">
        <v>281</v>
      </c>
      <c r="F202" s="12">
        <v>1552.61</v>
      </c>
      <c r="G202" s="37"/>
      <c r="H202" s="37"/>
      <c r="I202" s="37"/>
      <c r="J202" s="37"/>
      <c r="K202" s="12">
        <f>F202+H202-J202</f>
        <v>1552.61</v>
      </c>
      <c r="L202" s="13"/>
    </row>
    <row r="203" ht="24" customHeight="1" spans="2:12">
      <c r="B203" s="19"/>
      <c r="C203" s="22"/>
      <c r="D203" s="19" t="s">
        <v>111</v>
      </c>
      <c r="E203" s="22"/>
      <c r="F203" s="23">
        <f t="shared" ref="F203:K203" si="63">SUM(F199:F202)</f>
        <v>5345.16</v>
      </c>
      <c r="G203" s="23">
        <f t="shared" si="63"/>
        <v>0</v>
      </c>
      <c r="H203" s="23">
        <f t="shared" si="63"/>
        <v>0</v>
      </c>
      <c r="I203" s="23">
        <f t="shared" si="63"/>
        <v>0</v>
      </c>
      <c r="J203" s="23">
        <f t="shared" si="63"/>
        <v>0</v>
      </c>
      <c r="K203" s="23">
        <f t="shared" si="63"/>
        <v>5345.16</v>
      </c>
      <c r="L203" s="22"/>
    </row>
    <row r="204" ht="24" customHeight="1" spans="2:12">
      <c r="B204" s="11"/>
      <c r="C204" s="11" t="s">
        <v>120</v>
      </c>
      <c r="D204" s="11" t="s">
        <v>120</v>
      </c>
      <c r="E204" s="11" t="s">
        <v>282</v>
      </c>
      <c r="F204" s="12">
        <v>0</v>
      </c>
      <c r="G204" s="37"/>
      <c r="H204" s="37"/>
      <c r="I204" s="37"/>
      <c r="J204" s="37"/>
      <c r="K204" s="12">
        <f>F204+H204-J204</f>
        <v>0</v>
      </c>
      <c r="L204" s="13"/>
    </row>
    <row r="205" ht="24" customHeight="1" spans="2:12">
      <c r="B205" s="19"/>
      <c r="C205" s="22"/>
      <c r="D205" s="19" t="s">
        <v>122</v>
      </c>
      <c r="E205" s="22"/>
      <c r="F205" s="23">
        <f t="shared" ref="F205:K205" si="64">SUM(F204:F204)</f>
        <v>0</v>
      </c>
      <c r="G205" s="23">
        <f t="shared" si="64"/>
        <v>0</v>
      </c>
      <c r="H205" s="23">
        <f t="shared" si="64"/>
        <v>0</v>
      </c>
      <c r="I205" s="23">
        <f t="shared" si="64"/>
        <v>0</v>
      </c>
      <c r="J205" s="23">
        <f t="shared" si="64"/>
        <v>0</v>
      </c>
      <c r="K205" s="23">
        <f t="shared" si="64"/>
        <v>0</v>
      </c>
      <c r="L205" s="22"/>
    </row>
    <row r="206" ht="24" customHeight="1" spans="2:12">
      <c r="B206" s="24"/>
      <c r="C206" s="27"/>
      <c r="D206" s="24" t="s">
        <v>283</v>
      </c>
      <c r="E206" s="27"/>
      <c r="F206" s="28">
        <f t="shared" ref="F206:K206" si="65">F203+F205</f>
        <v>5345.16</v>
      </c>
      <c r="G206" s="28">
        <f t="shared" si="65"/>
        <v>0</v>
      </c>
      <c r="H206" s="28">
        <f t="shared" si="65"/>
        <v>0</v>
      </c>
      <c r="I206" s="28">
        <f t="shared" si="65"/>
        <v>0</v>
      </c>
      <c r="J206" s="28">
        <f t="shared" si="65"/>
        <v>0</v>
      </c>
      <c r="K206" s="28">
        <f t="shared" si="65"/>
        <v>5345.16</v>
      </c>
      <c r="L206" s="27"/>
    </row>
    <row r="207" ht="24" customHeight="1" spans="2:12">
      <c r="B207" s="11" t="s">
        <v>284</v>
      </c>
      <c r="C207" s="11" t="s">
        <v>16</v>
      </c>
      <c r="D207" s="11" t="s">
        <v>196</v>
      </c>
      <c r="E207" s="11" t="s">
        <v>285</v>
      </c>
      <c r="F207" s="12">
        <v>5566.96</v>
      </c>
      <c r="G207" s="37"/>
      <c r="H207" s="37"/>
      <c r="I207" s="37"/>
      <c r="J207" s="37"/>
      <c r="K207" s="12">
        <f>F207+H207-J207</f>
        <v>5566.96</v>
      </c>
      <c r="L207" s="13"/>
    </row>
    <row r="208" ht="24" customHeight="1" spans="2:12">
      <c r="B208" s="11"/>
      <c r="C208" s="11" t="s">
        <v>16</v>
      </c>
      <c r="D208" s="11" t="s">
        <v>31</v>
      </c>
      <c r="E208" s="11" t="s">
        <v>286</v>
      </c>
      <c r="F208" s="12">
        <v>4474.98</v>
      </c>
      <c r="G208" s="37"/>
      <c r="H208" s="37"/>
      <c r="I208" s="37"/>
      <c r="J208" s="37"/>
      <c r="K208" s="12">
        <f>F208+H208-J208</f>
        <v>4474.98</v>
      </c>
      <c r="L208" s="13"/>
    </row>
    <row r="209" ht="24" customHeight="1" spans="2:12">
      <c r="B209" s="11"/>
      <c r="C209" s="11" t="s">
        <v>16</v>
      </c>
      <c r="D209" s="11" t="s">
        <v>279</v>
      </c>
      <c r="E209" s="11" t="s">
        <v>287</v>
      </c>
      <c r="F209" s="12">
        <v>2353.57</v>
      </c>
      <c r="G209" s="37"/>
      <c r="H209" s="37"/>
      <c r="I209" s="37"/>
      <c r="J209" s="37"/>
      <c r="K209" s="12">
        <f>F209+H209-J209</f>
        <v>2353.57</v>
      </c>
      <c r="L209" s="13"/>
    </row>
    <row r="210" ht="24" customHeight="1" spans="2:12">
      <c r="B210" s="19"/>
      <c r="C210" s="22"/>
      <c r="D210" s="19" t="s">
        <v>111</v>
      </c>
      <c r="E210" s="22"/>
      <c r="F210" s="23">
        <f t="shared" ref="F210:K210" si="66">SUM(F207:F209)</f>
        <v>12395.51</v>
      </c>
      <c r="G210" s="23">
        <f t="shared" si="66"/>
        <v>0</v>
      </c>
      <c r="H210" s="23">
        <f t="shared" si="66"/>
        <v>0</v>
      </c>
      <c r="I210" s="23">
        <f t="shared" si="66"/>
        <v>0</v>
      </c>
      <c r="J210" s="23">
        <f t="shared" si="66"/>
        <v>0</v>
      </c>
      <c r="K210" s="23">
        <f t="shared" si="66"/>
        <v>12395.51</v>
      </c>
      <c r="L210" s="22"/>
    </row>
    <row r="211" ht="24" customHeight="1" spans="2:12">
      <c r="B211" s="11"/>
      <c r="C211" s="11" t="s">
        <v>120</v>
      </c>
      <c r="D211" s="11" t="s">
        <v>120</v>
      </c>
      <c r="E211" s="11" t="s">
        <v>288</v>
      </c>
      <c r="F211" s="12">
        <v>0</v>
      </c>
      <c r="G211" s="37"/>
      <c r="H211" s="37"/>
      <c r="I211" s="37"/>
      <c r="J211" s="37"/>
      <c r="K211" s="12">
        <f>F211+H211-J211</f>
        <v>0</v>
      </c>
      <c r="L211" s="13"/>
    </row>
    <row r="212" ht="24" customHeight="1" spans="2:12">
      <c r="B212" s="19"/>
      <c r="C212" s="22"/>
      <c r="D212" s="19" t="s">
        <v>122</v>
      </c>
      <c r="E212" s="22"/>
      <c r="F212" s="23">
        <f t="shared" ref="F212:K212" si="67">SUM(F211:F211)</f>
        <v>0</v>
      </c>
      <c r="G212" s="23">
        <f t="shared" si="67"/>
        <v>0</v>
      </c>
      <c r="H212" s="23">
        <f t="shared" si="67"/>
        <v>0</v>
      </c>
      <c r="I212" s="23">
        <f t="shared" si="67"/>
        <v>0</v>
      </c>
      <c r="J212" s="23">
        <f t="shared" si="67"/>
        <v>0</v>
      </c>
      <c r="K212" s="23">
        <f t="shared" si="67"/>
        <v>0</v>
      </c>
      <c r="L212" s="22"/>
    </row>
    <row r="213" ht="24" customHeight="1" spans="2:12">
      <c r="B213" s="24"/>
      <c r="C213" s="27"/>
      <c r="D213" s="24" t="s">
        <v>289</v>
      </c>
      <c r="E213" s="27"/>
      <c r="F213" s="28">
        <f t="shared" ref="F213:K213" si="68">F210+F212</f>
        <v>12395.51</v>
      </c>
      <c r="G213" s="28">
        <f t="shared" si="68"/>
        <v>0</v>
      </c>
      <c r="H213" s="28">
        <f t="shared" si="68"/>
        <v>0</v>
      </c>
      <c r="I213" s="28">
        <f t="shared" si="68"/>
        <v>0</v>
      </c>
      <c r="J213" s="28">
        <f t="shared" si="68"/>
        <v>0</v>
      </c>
      <c r="K213" s="28">
        <f t="shared" si="68"/>
        <v>12395.51</v>
      </c>
      <c r="L213" s="27"/>
    </row>
    <row r="214" ht="24" customHeight="1" spans="2:12">
      <c r="B214" s="11" t="s">
        <v>290</v>
      </c>
      <c r="C214" s="11" t="s">
        <v>16</v>
      </c>
      <c r="D214" s="11" t="s">
        <v>95</v>
      </c>
      <c r="E214" s="11" t="s">
        <v>291</v>
      </c>
      <c r="F214" s="12">
        <v>10284.88</v>
      </c>
      <c r="G214" s="37"/>
      <c r="H214" s="37"/>
      <c r="I214" s="37"/>
      <c r="J214" s="37"/>
      <c r="K214" s="12">
        <f>F214+H214-J214</f>
        <v>10284.88</v>
      </c>
      <c r="L214" s="13"/>
    </row>
    <row r="215" ht="24" customHeight="1" spans="2:12">
      <c r="B215" s="19"/>
      <c r="C215" s="22"/>
      <c r="D215" s="19" t="s">
        <v>111</v>
      </c>
      <c r="E215" s="22"/>
      <c r="F215" s="23">
        <f t="shared" ref="F215:K215" si="69">SUM(F214:F214)</f>
        <v>10284.88</v>
      </c>
      <c r="G215" s="23">
        <f t="shared" si="69"/>
        <v>0</v>
      </c>
      <c r="H215" s="23">
        <f t="shared" si="69"/>
        <v>0</v>
      </c>
      <c r="I215" s="23">
        <f t="shared" si="69"/>
        <v>0</v>
      </c>
      <c r="J215" s="23">
        <f t="shared" si="69"/>
        <v>0</v>
      </c>
      <c r="K215" s="23">
        <f t="shared" si="69"/>
        <v>10284.88</v>
      </c>
      <c r="L215" s="22"/>
    </row>
    <row r="216" ht="24" customHeight="1" spans="2:12">
      <c r="B216" s="11"/>
      <c r="C216" s="11" t="s">
        <v>112</v>
      </c>
      <c r="D216" s="11" t="s">
        <v>112</v>
      </c>
      <c r="E216" s="11" t="s">
        <v>292</v>
      </c>
      <c r="F216" s="12">
        <v>1298.42</v>
      </c>
      <c r="G216" s="37"/>
      <c r="H216" s="37"/>
      <c r="I216" s="37"/>
      <c r="J216" s="37"/>
      <c r="K216" s="12">
        <f>F216+H216-J216</f>
        <v>1298.42</v>
      </c>
      <c r="L216" s="13"/>
    </row>
    <row r="217" ht="24" customHeight="1" spans="2:12">
      <c r="B217" s="19"/>
      <c r="C217" s="22"/>
      <c r="D217" s="19" t="s">
        <v>119</v>
      </c>
      <c r="E217" s="22"/>
      <c r="F217" s="23">
        <f t="shared" ref="F217:K217" si="70">SUM(F216:F216)</f>
        <v>1298.42</v>
      </c>
      <c r="G217" s="23">
        <f t="shared" si="70"/>
        <v>0</v>
      </c>
      <c r="H217" s="23">
        <f t="shared" si="70"/>
        <v>0</v>
      </c>
      <c r="I217" s="23">
        <f t="shared" si="70"/>
        <v>0</v>
      </c>
      <c r="J217" s="23">
        <f t="shared" si="70"/>
        <v>0</v>
      </c>
      <c r="K217" s="23">
        <f t="shared" si="70"/>
        <v>1298.42</v>
      </c>
      <c r="L217" s="22"/>
    </row>
    <row r="218" ht="24" customHeight="1" spans="2:12">
      <c r="B218" s="11"/>
      <c r="C218" s="11" t="s">
        <v>120</v>
      </c>
      <c r="D218" s="11" t="s">
        <v>120</v>
      </c>
      <c r="E218" s="11" t="s">
        <v>293</v>
      </c>
      <c r="F218" s="12">
        <v>0</v>
      </c>
      <c r="G218" s="37"/>
      <c r="H218" s="37"/>
      <c r="I218" s="37"/>
      <c r="J218" s="37"/>
      <c r="K218" s="12">
        <f>F218+H218-J218</f>
        <v>0</v>
      </c>
      <c r="L218" s="13"/>
    </row>
    <row r="219" ht="24" customHeight="1" spans="2:12">
      <c r="B219" s="19"/>
      <c r="C219" s="22"/>
      <c r="D219" s="19" t="s">
        <v>122</v>
      </c>
      <c r="E219" s="22"/>
      <c r="F219" s="23">
        <f t="shared" ref="F219:K219" si="71">SUM(F218:F218)</f>
        <v>0</v>
      </c>
      <c r="G219" s="23">
        <f t="shared" si="71"/>
        <v>0</v>
      </c>
      <c r="H219" s="23">
        <f t="shared" si="71"/>
        <v>0</v>
      </c>
      <c r="I219" s="23">
        <f t="shared" si="71"/>
        <v>0</v>
      </c>
      <c r="J219" s="23">
        <f t="shared" si="71"/>
        <v>0</v>
      </c>
      <c r="K219" s="23">
        <f t="shared" si="71"/>
        <v>0</v>
      </c>
      <c r="L219" s="22"/>
    </row>
    <row r="220" ht="24" customHeight="1" spans="2:12">
      <c r="B220" s="24"/>
      <c r="C220" s="27"/>
      <c r="D220" s="24" t="s">
        <v>294</v>
      </c>
      <c r="E220" s="27"/>
      <c r="F220" s="28">
        <f>F215+F217+F219</f>
        <v>11583.3</v>
      </c>
      <c r="G220" s="28">
        <f t="shared" ref="F220:K220" si="72">G215+G217+G219</f>
        <v>0</v>
      </c>
      <c r="H220" s="28">
        <f t="shared" si="72"/>
        <v>0</v>
      </c>
      <c r="I220" s="28">
        <f t="shared" si="72"/>
        <v>0</v>
      </c>
      <c r="J220" s="28">
        <f t="shared" si="72"/>
        <v>0</v>
      </c>
      <c r="K220" s="28">
        <f t="shared" si="72"/>
        <v>11583.3</v>
      </c>
      <c r="L220" s="27"/>
    </row>
    <row r="221" ht="24" customHeight="1" spans="2:12">
      <c r="B221" s="11" t="s">
        <v>295</v>
      </c>
      <c r="C221" s="11" t="s">
        <v>16</v>
      </c>
      <c r="D221" s="11" t="s">
        <v>208</v>
      </c>
      <c r="E221" s="11" t="s">
        <v>296</v>
      </c>
      <c r="F221" s="12">
        <v>11994963.49</v>
      </c>
      <c r="G221" s="37"/>
      <c r="H221" s="37"/>
      <c r="I221" s="37"/>
      <c r="J221" s="37"/>
      <c r="K221" s="12">
        <f>F221+H221-J221</f>
        <v>11994963.49</v>
      </c>
      <c r="L221" s="13"/>
    </row>
    <row r="222" ht="24" customHeight="1" spans="2:12">
      <c r="B222" s="11"/>
      <c r="C222" s="11" t="s">
        <v>16</v>
      </c>
      <c r="D222" s="11" t="s">
        <v>196</v>
      </c>
      <c r="E222" s="11" t="s">
        <v>297</v>
      </c>
      <c r="F222" s="12">
        <v>3017814.67</v>
      </c>
      <c r="G222" s="37"/>
      <c r="H222" s="37"/>
      <c r="I222" s="37"/>
      <c r="J222" s="37"/>
      <c r="K222" s="12">
        <f>F222+H222-J222</f>
        <v>3017814.67</v>
      </c>
      <c r="L222" s="13"/>
    </row>
    <row r="223" ht="24" customHeight="1" spans="2:12">
      <c r="B223" s="11"/>
      <c r="C223" s="11" t="s">
        <v>16</v>
      </c>
      <c r="D223" s="11" t="s">
        <v>31</v>
      </c>
      <c r="E223" s="11" t="s">
        <v>298</v>
      </c>
      <c r="F223" s="12">
        <v>0</v>
      </c>
      <c r="G223" s="37"/>
      <c r="H223" s="37"/>
      <c r="I223" s="37"/>
      <c r="J223" s="37"/>
      <c r="K223" s="12">
        <f>F223+H223-J223</f>
        <v>0</v>
      </c>
      <c r="L223" s="13"/>
    </row>
    <row r="224" ht="24" customHeight="1" spans="2:12">
      <c r="B224" s="11"/>
      <c r="C224" s="11" t="s">
        <v>16</v>
      </c>
      <c r="D224" s="11" t="s">
        <v>56</v>
      </c>
      <c r="E224" s="11" t="s">
        <v>299</v>
      </c>
      <c r="F224" s="12">
        <v>4353.65</v>
      </c>
      <c r="G224" s="37"/>
      <c r="H224" s="37"/>
      <c r="I224" s="37"/>
      <c r="J224" s="37"/>
      <c r="K224" s="12">
        <f>F224+H224-J224</f>
        <v>4353.65</v>
      </c>
      <c r="L224" s="13"/>
    </row>
    <row r="225" ht="24" customHeight="1" spans="2:12">
      <c r="B225" s="19"/>
      <c r="C225" s="22"/>
      <c r="D225" s="29" t="s">
        <v>111</v>
      </c>
      <c r="E225" s="22"/>
      <c r="F225" s="23">
        <f t="shared" ref="F225:K225" si="73">SUM(F221:F224)</f>
        <v>15017131.81</v>
      </c>
      <c r="G225" s="23">
        <f t="shared" si="73"/>
        <v>0</v>
      </c>
      <c r="H225" s="23">
        <f t="shared" si="73"/>
        <v>0</v>
      </c>
      <c r="I225" s="23">
        <f t="shared" si="73"/>
        <v>0</v>
      </c>
      <c r="J225" s="23">
        <f t="shared" si="73"/>
        <v>0</v>
      </c>
      <c r="K225" s="23">
        <f t="shared" si="73"/>
        <v>15017131.81</v>
      </c>
      <c r="L225" s="22"/>
    </row>
    <row r="226" ht="24" customHeight="1" spans="2:12">
      <c r="B226" s="11"/>
      <c r="C226" s="11" t="s">
        <v>112</v>
      </c>
      <c r="D226" s="11" t="s">
        <v>112</v>
      </c>
      <c r="E226" s="11" t="s">
        <v>300</v>
      </c>
      <c r="F226" s="12">
        <v>53489.86</v>
      </c>
      <c r="G226" s="37"/>
      <c r="H226" s="37"/>
      <c r="I226" s="37"/>
      <c r="J226" s="37"/>
      <c r="K226" s="12">
        <f>F226+H226-J226</f>
        <v>53489.86</v>
      </c>
      <c r="L226" s="13"/>
    </row>
    <row r="227" ht="24" customHeight="1" spans="2:12">
      <c r="B227" s="19"/>
      <c r="C227" s="22"/>
      <c r="D227" s="29" t="s">
        <v>119</v>
      </c>
      <c r="E227" s="22"/>
      <c r="F227" s="23">
        <f t="shared" ref="F227:K227" si="74">SUM(F226:F226)</f>
        <v>53489.86</v>
      </c>
      <c r="G227" s="23">
        <f t="shared" si="74"/>
        <v>0</v>
      </c>
      <c r="H227" s="23">
        <f t="shared" si="74"/>
        <v>0</v>
      </c>
      <c r="I227" s="23">
        <f t="shared" si="74"/>
        <v>0</v>
      </c>
      <c r="J227" s="23">
        <f t="shared" si="74"/>
        <v>0</v>
      </c>
      <c r="K227" s="23">
        <f t="shared" si="74"/>
        <v>53489.86</v>
      </c>
      <c r="L227" s="22"/>
    </row>
    <row r="228" ht="24" customHeight="1" spans="2:12">
      <c r="B228" s="11"/>
      <c r="C228" s="11" t="s">
        <v>120</v>
      </c>
      <c r="D228" s="11" t="s">
        <v>120</v>
      </c>
      <c r="E228" s="11" t="s">
        <v>301</v>
      </c>
      <c r="F228" s="12">
        <v>0</v>
      </c>
      <c r="G228" s="37"/>
      <c r="H228" s="37"/>
      <c r="I228" s="37"/>
      <c r="J228" s="37"/>
      <c r="K228" s="12">
        <f>F228+H228-J228</f>
        <v>0</v>
      </c>
      <c r="L228" s="13"/>
    </row>
    <row r="229" ht="24" customHeight="1" spans="2:12">
      <c r="B229" s="19"/>
      <c r="C229" s="22"/>
      <c r="D229" s="29" t="s">
        <v>122</v>
      </c>
      <c r="E229" s="22"/>
      <c r="F229" s="23">
        <f t="shared" ref="F229:K229" si="75">SUM(F228:F228)</f>
        <v>0</v>
      </c>
      <c r="G229" s="23">
        <f t="shared" si="75"/>
        <v>0</v>
      </c>
      <c r="H229" s="23">
        <f t="shared" si="75"/>
        <v>0</v>
      </c>
      <c r="I229" s="23">
        <f t="shared" si="75"/>
        <v>0</v>
      </c>
      <c r="J229" s="23">
        <f t="shared" si="75"/>
        <v>0</v>
      </c>
      <c r="K229" s="23">
        <f t="shared" si="75"/>
        <v>0</v>
      </c>
      <c r="L229" s="22"/>
    </row>
    <row r="230" ht="24" customHeight="1" spans="2:12">
      <c r="B230" s="24"/>
      <c r="C230" s="27"/>
      <c r="D230" s="36" t="s">
        <v>302</v>
      </c>
      <c r="E230" s="27"/>
      <c r="F230" s="28">
        <f t="shared" ref="F230:K230" si="76">F225+F227+F229</f>
        <v>15070621.67</v>
      </c>
      <c r="G230" s="28">
        <f t="shared" si="76"/>
        <v>0</v>
      </c>
      <c r="H230" s="28">
        <f t="shared" si="76"/>
        <v>0</v>
      </c>
      <c r="I230" s="28">
        <f t="shared" si="76"/>
        <v>0</v>
      </c>
      <c r="J230" s="28">
        <f t="shared" si="76"/>
        <v>0</v>
      </c>
      <c r="K230" s="28">
        <f t="shared" si="76"/>
        <v>15070621.67</v>
      </c>
      <c r="L230" s="27"/>
    </row>
    <row r="231" ht="24" customHeight="1" spans="2:12">
      <c r="B231" s="11" t="s">
        <v>303</v>
      </c>
      <c r="C231" s="11" t="s">
        <v>16</v>
      </c>
      <c r="D231" s="11" t="s">
        <v>21</v>
      </c>
      <c r="E231" s="11" t="s">
        <v>304</v>
      </c>
      <c r="F231" s="12">
        <v>56272.67</v>
      </c>
      <c r="G231" s="37"/>
      <c r="H231" s="37">
        <f>G231</f>
        <v>0</v>
      </c>
      <c r="I231" s="37"/>
      <c r="J231" s="37">
        <f>I231</f>
        <v>0</v>
      </c>
      <c r="K231" s="12">
        <f>F231+H231-J231</f>
        <v>56272.67</v>
      </c>
      <c r="L231" s="13"/>
    </row>
    <row r="232" ht="24" customHeight="1" spans="2:12">
      <c r="B232" s="11"/>
      <c r="C232" s="11" t="s">
        <v>16</v>
      </c>
      <c r="D232" s="11" t="s">
        <v>95</v>
      </c>
      <c r="E232" s="11" t="s">
        <v>305</v>
      </c>
      <c r="F232" s="12">
        <v>67274.88</v>
      </c>
      <c r="G232" s="37"/>
      <c r="H232" s="37">
        <f t="shared" ref="H232:H242" si="77">G232</f>
        <v>0</v>
      </c>
      <c r="I232" s="37"/>
      <c r="J232" s="37">
        <f t="shared" ref="J232:J242" si="78">I232</f>
        <v>0</v>
      </c>
      <c r="K232" s="12">
        <f t="shared" ref="K232:K242" si="79">F232+H232-J232</f>
        <v>67274.88</v>
      </c>
      <c r="L232" s="13"/>
    </row>
    <row r="233" ht="24" customHeight="1" spans="2:12">
      <c r="B233" s="11"/>
      <c r="C233" s="11" t="s">
        <v>16</v>
      </c>
      <c r="D233" s="11" t="s">
        <v>246</v>
      </c>
      <c r="E233" s="11" t="s">
        <v>306</v>
      </c>
      <c r="F233" s="12">
        <v>51509.22</v>
      </c>
      <c r="G233" s="37"/>
      <c r="H233" s="37">
        <f t="shared" si="77"/>
        <v>0</v>
      </c>
      <c r="I233" s="37"/>
      <c r="J233" s="37">
        <f t="shared" si="78"/>
        <v>0</v>
      </c>
      <c r="K233" s="12">
        <f t="shared" si="79"/>
        <v>51509.22</v>
      </c>
      <c r="L233" s="13"/>
    </row>
    <row r="234" ht="24" customHeight="1" spans="2:12">
      <c r="B234" s="11"/>
      <c r="C234" s="11" t="s">
        <v>16</v>
      </c>
      <c r="D234" s="11" t="s">
        <v>194</v>
      </c>
      <c r="E234" s="11" t="s">
        <v>307</v>
      </c>
      <c r="F234" s="12">
        <v>0</v>
      </c>
      <c r="G234" s="37"/>
      <c r="H234" s="37">
        <f t="shared" si="77"/>
        <v>0</v>
      </c>
      <c r="I234" s="37"/>
      <c r="J234" s="37">
        <f t="shared" si="78"/>
        <v>0</v>
      </c>
      <c r="K234" s="12">
        <f t="shared" si="79"/>
        <v>0</v>
      </c>
      <c r="L234" s="13"/>
    </row>
    <row r="235" ht="24" customHeight="1" spans="2:12">
      <c r="B235" s="11"/>
      <c r="C235" s="11" t="s">
        <v>16</v>
      </c>
      <c r="D235" s="11" t="s">
        <v>56</v>
      </c>
      <c r="E235" s="11" t="s">
        <v>308</v>
      </c>
      <c r="F235" s="12">
        <v>3177.59</v>
      </c>
      <c r="G235" s="37"/>
      <c r="H235" s="37">
        <f t="shared" si="77"/>
        <v>0</v>
      </c>
      <c r="I235" s="37"/>
      <c r="J235" s="37">
        <f t="shared" si="78"/>
        <v>0</v>
      </c>
      <c r="K235" s="12">
        <f t="shared" si="79"/>
        <v>3177.59</v>
      </c>
      <c r="L235" s="13"/>
    </row>
    <row r="236" ht="24" customHeight="1" spans="2:12">
      <c r="B236" s="11"/>
      <c r="C236" s="11" t="s">
        <v>16</v>
      </c>
      <c r="D236" s="11" t="s">
        <v>31</v>
      </c>
      <c r="E236" s="11" t="s">
        <v>309</v>
      </c>
      <c r="F236" s="12">
        <v>59669.44</v>
      </c>
      <c r="G236" s="37"/>
      <c r="H236" s="37">
        <f t="shared" si="77"/>
        <v>0</v>
      </c>
      <c r="I236" s="37"/>
      <c r="J236" s="37">
        <f t="shared" si="78"/>
        <v>0</v>
      </c>
      <c r="K236" s="12">
        <f t="shared" si="79"/>
        <v>59669.44</v>
      </c>
      <c r="L236" s="13"/>
    </row>
    <row r="237" ht="24" customHeight="1" spans="2:12">
      <c r="B237" s="11"/>
      <c r="C237" s="11" t="s">
        <v>16</v>
      </c>
      <c r="D237" s="11" t="s">
        <v>166</v>
      </c>
      <c r="E237" s="11" t="s">
        <v>310</v>
      </c>
      <c r="F237" s="12">
        <v>60.51</v>
      </c>
      <c r="G237" s="37"/>
      <c r="H237" s="37">
        <f t="shared" si="77"/>
        <v>0</v>
      </c>
      <c r="I237" s="37"/>
      <c r="J237" s="37">
        <f t="shared" si="78"/>
        <v>0</v>
      </c>
      <c r="K237" s="12">
        <f t="shared" si="79"/>
        <v>60.51</v>
      </c>
      <c r="L237" s="13"/>
    </row>
    <row r="238" ht="24" customHeight="1" spans="2:12">
      <c r="B238" s="11"/>
      <c r="C238" s="11" t="s">
        <v>16</v>
      </c>
      <c r="D238" s="11" t="s">
        <v>233</v>
      </c>
      <c r="E238" s="11" t="s">
        <v>311</v>
      </c>
      <c r="F238" s="12">
        <v>126.92</v>
      </c>
      <c r="G238" s="37"/>
      <c r="H238" s="37">
        <f t="shared" si="77"/>
        <v>0</v>
      </c>
      <c r="I238" s="37"/>
      <c r="J238" s="37">
        <f t="shared" si="78"/>
        <v>0</v>
      </c>
      <c r="K238" s="12">
        <f t="shared" si="79"/>
        <v>126.92</v>
      </c>
      <c r="L238" s="13"/>
    </row>
    <row r="239" ht="24" customHeight="1" spans="2:12">
      <c r="B239" s="11"/>
      <c r="C239" s="11" t="s">
        <v>16</v>
      </c>
      <c r="D239" s="11" t="s">
        <v>312</v>
      </c>
      <c r="E239" s="11" t="s">
        <v>313</v>
      </c>
      <c r="F239" s="12">
        <v>5041.52</v>
      </c>
      <c r="G239" s="37"/>
      <c r="H239" s="37">
        <f t="shared" si="77"/>
        <v>0</v>
      </c>
      <c r="I239" s="37"/>
      <c r="J239" s="37">
        <f t="shared" si="78"/>
        <v>0</v>
      </c>
      <c r="K239" s="12">
        <f t="shared" si="79"/>
        <v>5041.52</v>
      </c>
      <c r="L239" s="13"/>
    </row>
    <row r="240" ht="24" customHeight="1" spans="2:12">
      <c r="B240" s="11"/>
      <c r="C240" s="11" t="s">
        <v>16</v>
      </c>
      <c r="D240" s="11" t="s">
        <v>47</v>
      </c>
      <c r="E240" s="11" t="s">
        <v>314</v>
      </c>
      <c r="F240" s="12">
        <v>578.68</v>
      </c>
      <c r="G240" s="37"/>
      <c r="H240" s="37">
        <f t="shared" si="77"/>
        <v>0</v>
      </c>
      <c r="I240" s="37"/>
      <c r="J240" s="37">
        <f t="shared" si="78"/>
        <v>0</v>
      </c>
      <c r="K240" s="12">
        <f t="shared" si="79"/>
        <v>578.68</v>
      </c>
      <c r="L240" s="13"/>
    </row>
    <row r="241" ht="24" customHeight="1" spans="2:12">
      <c r="B241" s="11"/>
      <c r="C241" s="11" t="s">
        <v>16</v>
      </c>
      <c r="D241" s="11" t="s">
        <v>64</v>
      </c>
      <c r="E241" s="11" t="s">
        <v>315</v>
      </c>
      <c r="F241" s="12">
        <v>6040.89</v>
      </c>
      <c r="G241" s="37"/>
      <c r="H241" s="37">
        <f t="shared" si="77"/>
        <v>0</v>
      </c>
      <c r="I241" s="37"/>
      <c r="J241" s="37">
        <f t="shared" si="78"/>
        <v>0</v>
      </c>
      <c r="K241" s="12">
        <f t="shared" si="79"/>
        <v>6040.89</v>
      </c>
      <c r="L241" s="13"/>
    </row>
    <row r="242" ht="24" customHeight="1" spans="2:12">
      <c r="B242" s="11"/>
      <c r="C242" s="11" t="s">
        <v>16</v>
      </c>
      <c r="D242" s="11" t="s">
        <v>194</v>
      </c>
      <c r="E242" s="11" t="s">
        <v>316</v>
      </c>
      <c r="F242" s="12">
        <v>100</v>
      </c>
      <c r="G242" s="37"/>
      <c r="H242" s="37">
        <f t="shared" si="77"/>
        <v>0</v>
      </c>
      <c r="I242" s="37"/>
      <c r="J242" s="37">
        <f t="shared" si="78"/>
        <v>0</v>
      </c>
      <c r="K242" s="12">
        <f t="shared" si="79"/>
        <v>100</v>
      </c>
      <c r="L242" s="13"/>
    </row>
    <row r="243" ht="24" customHeight="1" spans="2:12">
      <c r="B243" s="19"/>
      <c r="C243" s="22"/>
      <c r="D243" s="19" t="s">
        <v>111</v>
      </c>
      <c r="E243" s="22"/>
      <c r="F243" s="23">
        <f t="shared" ref="F243:K243" si="80">SUM(F231:F242)</f>
        <v>249852.32</v>
      </c>
      <c r="G243" s="23">
        <f t="shared" si="80"/>
        <v>0</v>
      </c>
      <c r="H243" s="23">
        <f t="shared" si="80"/>
        <v>0</v>
      </c>
      <c r="I243" s="23">
        <f t="shared" si="80"/>
        <v>0</v>
      </c>
      <c r="J243" s="23">
        <f t="shared" si="80"/>
        <v>0</v>
      </c>
      <c r="K243" s="23">
        <f t="shared" si="80"/>
        <v>249852.32</v>
      </c>
      <c r="L243" s="22"/>
    </row>
    <row r="244" ht="24" customHeight="1" spans="2:12">
      <c r="B244" s="11"/>
      <c r="C244" s="11" t="s">
        <v>112</v>
      </c>
      <c r="D244" s="11" t="s">
        <v>112</v>
      </c>
      <c r="E244" s="11" t="s">
        <v>317</v>
      </c>
      <c r="F244" s="12">
        <v>5628.6</v>
      </c>
      <c r="G244" s="37"/>
      <c r="H244" s="37">
        <f>G244</f>
        <v>0</v>
      </c>
      <c r="I244" s="37"/>
      <c r="J244" s="37">
        <f>I244</f>
        <v>0</v>
      </c>
      <c r="K244" s="12">
        <f>F244+H244-J244</f>
        <v>5628.6</v>
      </c>
      <c r="L244" s="13"/>
    </row>
    <row r="245" ht="24" customHeight="1" spans="2:12">
      <c r="B245" s="19"/>
      <c r="C245" s="22"/>
      <c r="D245" s="19" t="s">
        <v>119</v>
      </c>
      <c r="E245" s="22"/>
      <c r="F245" s="23">
        <f t="shared" ref="F245:K245" si="81">SUM(F244:F244)</f>
        <v>5628.6</v>
      </c>
      <c r="G245" s="23">
        <f t="shared" si="81"/>
        <v>0</v>
      </c>
      <c r="H245" s="23">
        <f t="shared" si="81"/>
        <v>0</v>
      </c>
      <c r="I245" s="23">
        <f t="shared" si="81"/>
        <v>0</v>
      </c>
      <c r="J245" s="23">
        <f t="shared" si="81"/>
        <v>0</v>
      </c>
      <c r="K245" s="23">
        <f t="shared" si="81"/>
        <v>5628.6</v>
      </c>
      <c r="L245" s="22"/>
    </row>
    <row r="246" ht="24" customHeight="1" spans="2:12">
      <c r="B246" s="11"/>
      <c r="C246" s="11" t="s">
        <v>120</v>
      </c>
      <c r="D246" s="11" t="s">
        <v>120</v>
      </c>
      <c r="E246" s="11" t="s">
        <v>318</v>
      </c>
      <c r="F246" s="12">
        <v>0</v>
      </c>
      <c r="G246" s="37"/>
      <c r="H246" s="37">
        <f>G246</f>
        <v>0</v>
      </c>
      <c r="I246" s="37"/>
      <c r="J246" s="37">
        <f>I246</f>
        <v>0</v>
      </c>
      <c r="K246" s="12">
        <f>F246+H246-J246</f>
        <v>0</v>
      </c>
      <c r="L246" s="13"/>
    </row>
    <row r="247" ht="24" customHeight="1" spans="2:12">
      <c r="B247" s="19"/>
      <c r="C247" s="22"/>
      <c r="D247" s="19" t="s">
        <v>122</v>
      </c>
      <c r="E247" s="22"/>
      <c r="F247" s="23">
        <f t="shared" ref="F247:K247" si="82">SUM(F246:F246)</f>
        <v>0</v>
      </c>
      <c r="G247" s="23">
        <f t="shared" si="82"/>
        <v>0</v>
      </c>
      <c r="H247" s="23">
        <f t="shared" si="82"/>
        <v>0</v>
      </c>
      <c r="I247" s="23">
        <f t="shared" si="82"/>
        <v>0</v>
      </c>
      <c r="J247" s="23">
        <f t="shared" si="82"/>
        <v>0</v>
      </c>
      <c r="K247" s="23">
        <f t="shared" si="82"/>
        <v>0</v>
      </c>
      <c r="L247" s="22"/>
    </row>
    <row r="248" ht="24" customHeight="1" spans="2:12">
      <c r="B248" s="24"/>
      <c r="C248" s="27"/>
      <c r="D248" s="24" t="s">
        <v>319</v>
      </c>
      <c r="E248" s="27"/>
      <c r="F248" s="28">
        <f t="shared" ref="F248:K248" si="83">F243+F245+F247</f>
        <v>255480.92</v>
      </c>
      <c r="G248" s="28">
        <f t="shared" si="83"/>
        <v>0</v>
      </c>
      <c r="H248" s="28">
        <f t="shared" si="83"/>
        <v>0</v>
      </c>
      <c r="I248" s="28">
        <f t="shared" si="83"/>
        <v>0</v>
      </c>
      <c r="J248" s="28">
        <f t="shared" si="83"/>
        <v>0</v>
      </c>
      <c r="K248" s="28">
        <f t="shared" si="83"/>
        <v>255480.92</v>
      </c>
      <c r="L248" s="27"/>
    </row>
    <row r="249" ht="24" customHeight="1" spans="2:12">
      <c r="B249" s="11" t="s">
        <v>320</v>
      </c>
      <c r="C249" s="11" t="s">
        <v>16</v>
      </c>
      <c r="D249" s="11" t="s">
        <v>21</v>
      </c>
      <c r="E249" s="11" t="s">
        <v>321</v>
      </c>
      <c r="F249" s="12">
        <v>1583.6</v>
      </c>
      <c r="G249" s="37"/>
      <c r="H249" s="37">
        <f>G249</f>
        <v>0</v>
      </c>
      <c r="I249" s="37"/>
      <c r="J249" s="37">
        <f>I249</f>
        <v>0</v>
      </c>
      <c r="K249" s="12">
        <f>F249+H249-J249</f>
        <v>1583.6</v>
      </c>
      <c r="L249" s="13"/>
    </row>
    <row r="250" ht="24" customHeight="1" spans="2:12">
      <c r="B250" s="19"/>
      <c r="C250" s="22"/>
      <c r="D250" s="19" t="s">
        <v>111</v>
      </c>
      <c r="E250" s="22"/>
      <c r="F250" s="23">
        <f t="shared" ref="F250:K250" si="84">SUM(F249:F249)</f>
        <v>1583.6</v>
      </c>
      <c r="G250" s="23">
        <f t="shared" si="84"/>
        <v>0</v>
      </c>
      <c r="H250" s="23">
        <f t="shared" si="84"/>
        <v>0</v>
      </c>
      <c r="I250" s="23">
        <f t="shared" si="84"/>
        <v>0</v>
      </c>
      <c r="J250" s="23">
        <f t="shared" si="84"/>
        <v>0</v>
      </c>
      <c r="K250" s="23">
        <f t="shared" si="84"/>
        <v>1583.6</v>
      </c>
      <c r="L250" s="22"/>
    </row>
    <row r="251" ht="24" customHeight="1" spans="2:12">
      <c r="B251" s="11"/>
      <c r="C251" s="11" t="s">
        <v>112</v>
      </c>
      <c r="D251" s="11" t="s">
        <v>112</v>
      </c>
      <c r="E251" s="11" t="s">
        <v>322</v>
      </c>
      <c r="F251" s="12">
        <v>0.1</v>
      </c>
      <c r="G251" s="37"/>
      <c r="H251" s="37">
        <f>G251</f>
        <v>0</v>
      </c>
      <c r="I251" s="37"/>
      <c r="J251" s="37">
        <f>I251</f>
        <v>0</v>
      </c>
      <c r="K251" s="12">
        <f>F251+H251-J251</f>
        <v>0.1</v>
      </c>
      <c r="L251" s="13"/>
    </row>
    <row r="252" ht="24" customHeight="1" spans="2:12">
      <c r="B252" s="19"/>
      <c r="C252" s="22"/>
      <c r="D252" s="19" t="s">
        <v>119</v>
      </c>
      <c r="E252" s="22"/>
      <c r="F252" s="23">
        <f t="shared" ref="F252:K252" si="85">SUM(F251:F251)</f>
        <v>0.1</v>
      </c>
      <c r="G252" s="23">
        <f t="shared" si="85"/>
        <v>0</v>
      </c>
      <c r="H252" s="23">
        <f t="shared" si="85"/>
        <v>0</v>
      </c>
      <c r="I252" s="23">
        <f t="shared" si="85"/>
        <v>0</v>
      </c>
      <c r="J252" s="23">
        <f t="shared" si="85"/>
        <v>0</v>
      </c>
      <c r="K252" s="23">
        <f t="shared" si="85"/>
        <v>0.1</v>
      </c>
      <c r="L252" s="22"/>
    </row>
    <row r="253" ht="24" customHeight="1" spans="2:12">
      <c r="B253" s="11"/>
      <c r="C253" s="11" t="s">
        <v>120</v>
      </c>
      <c r="D253" s="11" t="s">
        <v>120</v>
      </c>
      <c r="E253" s="11" t="s">
        <v>323</v>
      </c>
      <c r="F253" s="12">
        <v>0</v>
      </c>
      <c r="G253" s="37"/>
      <c r="H253" s="37">
        <f>G253</f>
        <v>0</v>
      </c>
      <c r="I253" s="37"/>
      <c r="J253" s="37">
        <f>I253</f>
        <v>0</v>
      </c>
      <c r="K253" s="12">
        <f>F253+H253-J253</f>
        <v>0</v>
      </c>
      <c r="L253" s="13"/>
    </row>
    <row r="254" ht="24" customHeight="1" spans="2:12">
      <c r="B254" s="19"/>
      <c r="C254" s="22"/>
      <c r="D254" s="19" t="s">
        <v>122</v>
      </c>
      <c r="E254" s="22"/>
      <c r="F254" s="23">
        <f t="shared" ref="F254:K254" si="86">SUM(F253:F253)</f>
        <v>0</v>
      </c>
      <c r="G254" s="23">
        <f t="shared" si="86"/>
        <v>0</v>
      </c>
      <c r="H254" s="23">
        <f t="shared" si="86"/>
        <v>0</v>
      </c>
      <c r="I254" s="23">
        <f t="shared" si="86"/>
        <v>0</v>
      </c>
      <c r="J254" s="23">
        <f t="shared" si="86"/>
        <v>0</v>
      </c>
      <c r="K254" s="23">
        <f t="shared" si="86"/>
        <v>0</v>
      </c>
      <c r="L254" s="22"/>
    </row>
    <row r="255" ht="24" customHeight="1" spans="2:12">
      <c r="B255" s="24"/>
      <c r="C255" s="27"/>
      <c r="D255" s="24" t="s">
        <v>324</v>
      </c>
      <c r="E255" s="27"/>
      <c r="F255" s="28">
        <f t="shared" ref="F255:K255" si="87">F250+F252+F254</f>
        <v>1583.7</v>
      </c>
      <c r="G255" s="28">
        <f t="shared" si="87"/>
        <v>0</v>
      </c>
      <c r="H255" s="28">
        <f t="shared" si="87"/>
        <v>0</v>
      </c>
      <c r="I255" s="28">
        <f t="shared" si="87"/>
        <v>0</v>
      </c>
      <c r="J255" s="28">
        <f t="shared" si="87"/>
        <v>0</v>
      </c>
      <c r="K255" s="28">
        <f t="shared" si="87"/>
        <v>1583.7</v>
      </c>
      <c r="L255" s="27"/>
    </row>
    <row r="256" ht="24" customHeight="1" spans="2:12">
      <c r="B256" s="11" t="s">
        <v>325</v>
      </c>
      <c r="C256" s="11" t="s">
        <v>16</v>
      </c>
      <c r="D256" s="11" t="s">
        <v>95</v>
      </c>
      <c r="E256" s="11" t="s">
        <v>326</v>
      </c>
      <c r="F256" s="12">
        <v>72456.54</v>
      </c>
      <c r="G256" s="37"/>
      <c r="H256" s="37">
        <f>G256</f>
        <v>0</v>
      </c>
      <c r="I256" s="37"/>
      <c r="J256" s="37">
        <f>I256</f>
        <v>0</v>
      </c>
      <c r="K256" s="12">
        <f>F256+H256-J256</f>
        <v>72456.54</v>
      </c>
      <c r="L256" s="13"/>
    </row>
    <row r="257" ht="24" customHeight="1" spans="2:12">
      <c r="B257" s="11"/>
      <c r="C257" s="11" t="s">
        <v>16</v>
      </c>
      <c r="D257" s="11" t="s">
        <v>37</v>
      </c>
      <c r="E257" s="11" t="s">
        <v>327</v>
      </c>
      <c r="F257" s="12">
        <v>100.13</v>
      </c>
      <c r="G257" s="37"/>
      <c r="H257" s="37">
        <f>G257</f>
        <v>0</v>
      </c>
      <c r="I257" s="37"/>
      <c r="J257" s="37">
        <f>I257</f>
        <v>0</v>
      </c>
      <c r="K257" s="12">
        <f>F257+H257-J257</f>
        <v>100.13</v>
      </c>
      <c r="L257" s="13"/>
    </row>
    <row r="258" ht="24" customHeight="1" spans="2:12">
      <c r="B258" s="19"/>
      <c r="C258" s="22"/>
      <c r="D258" s="19" t="s">
        <v>111</v>
      </c>
      <c r="E258" s="22"/>
      <c r="F258" s="23">
        <f t="shared" ref="F258:K258" si="88">SUM(F256:F257)</f>
        <v>72556.67</v>
      </c>
      <c r="G258" s="23">
        <f t="shared" si="88"/>
        <v>0</v>
      </c>
      <c r="H258" s="23">
        <f t="shared" si="88"/>
        <v>0</v>
      </c>
      <c r="I258" s="23">
        <f t="shared" si="88"/>
        <v>0</v>
      </c>
      <c r="J258" s="23">
        <f t="shared" si="88"/>
        <v>0</v>
      </c>
      <c r="K258" s="23">
        <f t="shared" si="88"/>
        <v>72556.67</v>
      </c>
      <c r="L258" s="22"/>
    </row>
    <row r="259" ht="24" customHeight="1" spans="2:12">
      <c r="B259" s="11"/>
      <c r="C259" s="11" t="s">
        <v>120</v>
      </c>
      <c r="D259" s="11" t="s">
        <v>120</v>
      </c>
      <c r="E259" s="11" t="s">
        <v>328</v>
      </c>
      <c r="F259" s="12">
        <v>0</v>
      </c>
      <c r="G259" s="37"/>
      <c r="H259" s="37">
        <f>G259</f>
        <v>0</v>
      </c>
      <c r="I259" s="37"/>
      <c r="J259" s="37">
        <f>I259</f>
        <v>0</v>
      </c>
      <c r="K259" s="12">
        <f>F259+H259-J259</f>
        <v>0</v>
      </c>
      <c r="L259" s="13"/>
    </row>
    <row r="260" ht="24" customHeight="1" spans="2:12">
      <c r="B260" s="19"/>
      <c r="C260" s="22"/>
      <c r="D260" s="19" t="s">
        <v>122</v>
      </c>
      <c r="E260" s="22"/>
      <c r="F260" s="23">
        <f>SUM(F259:F259)</f>
        <v>0</v>
      </c>
      <c r="G260" s="23">
        <f>SUM(G259:G259)</f>
        <v>0</v>
      </c>
      <c r="H260" s="23">
        <f t="shared" ref="F260:K260" si="89">SUM(H259:H259)</f>
        <v>0</v>
      </c>
      <c r="I260" s="23">
        <f t="shared" si="89"/>
        <v>0</v>
      </c>
      <c r="J260" s="23">
        <f t="shared" si="89"/>
        <v>0</v>
      </c>
      <c r="K260" s="23">
        <f t="shared" si="89"/>
        <v>0</v>
      </c>
      <c r="L260" s="22"/>
    </row>
    <row r="261" ht="24" customHeight="1" spans="2:12">
      <c r="B261" s="24"/>
      <c r="C261" s="27"/>
      <c r="D261" s="24" t="s">
        <v>329</v>
      </c>
      <c r="E261" s="27"/>
      <c r="F261" s="28">
        <f t="shared" ref="F261:K261" si="90">F258+F260</f>
        <v>72556.67</v>
      </c>
      <c r="G261" s="28">
        <f t="shared" si="90"/>
        <v>0</v>
      </c>
      <c r="H261" s="28">
        <f t="shared" si="90"/>
        <v>0</v>
      </c>
      <c r="I261" s="28">
        <f t="shared" si="90"/>
        <v>0</v>
      </c>
      <c r="J261" s="28">
        <f t="shared" si="90"/>
        <v>0</v>
      </c>
      <c r="K261" s="28">
        <f t="shared" si="90"/>
        <v>72556.67</v>
      </c>
      <c r="L261" s="27"/>
    </row>
    <row r="262" ht="24" customHeight="1" spans="2:12">
      <c r="B262" s="11" t="s">
        <v>330</v>
      </c>
      <c r="C262" s="11" t="s">
        <v>16</v>
      </c>
      <c r="D262" s="11" t="s">
        <v>95</v>
      </c>
      <c r="E262" s="11" t="s">
        <v>331</v>
      </c>
      <c r="F262" s="12">
        <v>2288.24</v>
      </c>
      <c r="G262" s="37"/>
      <c r="H262" s="37">
        <f>G262</f>
        <v>0</v>
      </c>
      <c r="I262" s="37"/>
      <c r="J262" s="37">
        <f>I262</f>
        <v>0</v>
      </c>
      <c r="K262" s="12">
        <f>F262+H262-J262</f>
        <v>2288.24</v>
      </c>
      <c r="L262" s="13"/>
    </row>
    <row r="263" ht="24" customHeight="1" spans="2:12">
      <c r="B263" s="19"/>
      <c r="C263" s="22"/>
      <c r="D263" s="19" t="s">
        <v>111</v>
      </c>
      <c r="E263" s="22"/>
      <c r="F263" s="23">
        <f t="shared" ref="F263:K263" si="91">SUM(F262:F262)</f>
        <v>2288.24</v>
      </c>
      <c r="G263" s="23">
        <f t="shared" si="91"/>
        <v>0</v>
      </c>
      <c r="H263" s="23">
        <f t="shared" si="91"/>
        <v>0</v>
      </c>
      <c r="I263" s="23">
        <f t="shared" si="91"/>
        <v>0</v>
      </c>
      <c r="J263" s="23">
        <f t="shared" si="91"/>
        <v>0</v>
      </c>
      <c r="K263" s="23">
        <f t="shared" si="91"/>
        <v>2288.24</v>
      </c>
      <c r="L263" s="22"/>
    </row>
    <row r="264" ht="24" customHeight="1" spans="2:12">
      <c r="B264" s="11"/>
      <c r="C264" s="11" t="s">
        <v>120</v>
      </c>
      <c r="D264" s="11" t="s">
        <v>120</v>
      </c>
      <c r="E264" s="11" t="s">
        <v>332</v>
      </c>
      <c r="F264" s="12">
        <v>0</v>
      </c>
      <c r="G264" s="37"/>
      <c r="H264" s="37">
        <f>G264</f>
        <v>0</v>
      </c>
      <c r="I264" s="37"/>
      <c r="J264" s="37">
        <f>I264</f>
        <v>0</v>
      </c>
      <c r="K264" s="12">
        <f>F264+H264-J264</f>
        <v>0</v>
      </c>
      <c r="L264" s="13"/>
    </row>
    <row r="265" ht="24" customHeight="1" spans="2:12">
      <c r="B265" s="19"/>
      <c r="C265" s="22"/>
      <c r="D265" s="19" t="s">
        <v>122</v>
      </c>
      <c r="E265" s="22"/>
      <c r="F265" s="23">
        <f t="shared" ref="F265:K265" si="92">SUM(F264:F264)</f>
        <v>0</v>
      </c>
      <c r="G265" s="23">
        <f t="shared" si="92"/>
        <v>0</v>
      </c>
      <c r="H265" s="23">
        <f t="shared" si="92"/>
        <v>0</v>
      </c>
      <c r="I265" s="23">
        <f t="shared" si="92"/>
        <v>0</v>
      </c>
      <c r="J265" s="23">
        <f t="shared" si="92"/>
        <v>0</v>
      </c>
      <c r="K265" s="23">
        <f t="shared" si="92"/>
        <v>0</v>
      </c>
      <c r="L265" s="22"/>
    </row>
    <row r="266" ht="24" customHeight="1" spans="2:12">
      <c r="B266" s="24"/>
      <c r="C266" s="27"/>
      <c r="D266" s="24" t="s">
        <v>333</v>
      </c>
      <c r="E266" s="27"/>
      <c r="F266" s="28">
        <f t="shared" ref="F266:K266" si="93">F263+F265</f>
        <v>2288.24</v>
      </c>
      <c r="G266" s="28">
        <f t="shared" si="93"/>
        <v>0</v>
      </c>
      <c r="H266" s="28">
        <f t="shared" si="93"/>
        <v>0</v>
      </c>
      <c r="I266" s="28">
        <f t="shared" si="93"/>
        <v>0</v>
      </c>
      <c r="J266" s="28">
        <f t="shared" si="93"/>
        <v>0</v>
      </c>
      <c r="K266" s="28">
        <f t="shared" si="93"/>
        <v>2288.24</v>
      </c>
      <c r="L266" s="27"/>
    </row>
    <row r="267" ht="24" customHeight="1" spans="2:12">
      <c r="B267" s="11" t="s">
        <v>334</v>
      </c>
      <c r="C267" s="11" t="s">
        <v>16</v>
      </c>
      <c r="D267" s="11" t="s">
        <v>335</v>
      </c>
      <c r="E267" s="11" t="s">
        <v>336</v>
      </c>
      <c r="F267" s="12">
        <v>306.47</v>
      </c>
      <c r="G267" s="37"/>
      <c r="H267" s="37">
        <f>G267</f>
        <v>0</v>
      </c>
      <c r="I267" s="37"/>
      <c r="J267" s="37">
        <f>I267</f>
        <v>0</v>
      </c>
      <c r="K267" s="12">
        <f>F267+H267-J267</f>
        <v>306.47</v>
      </c>
      <c r="L267" s="13"/>
    </row>
    <row r="268" ht="24" customHeight="1" spans="2:12">
      <c r="B268" s="11"/>
      <c r="C268" s="11" t="s">
        <v>16</v>
      </c>
      <c r="D268" s="11" t="s">
        <v>196</v>
      </c>
      <c r="E268" s="11" t="s">
        <v>337</v>
      </c>
      <c r="F268" s="12">
        <v>55172</v>
      </c>
      <c r="G268" s="37"/>
      <c r="H268" s="37">
        <f t="shared" ref="H268:H273" si="94">G268</f>
        <v>0</v>
      </c>
      <c r="I268" s="37"/>
      <c r="J268" s="37">
        <f t="shared" ref="J268:J273" si="95">I268</f>
        <v>0</v>
      </c>
      <c r="K268" s="12">
        <f t="shared" ref="K268:K273" si="96">F268+H268-J268</f>
        <v>55172</v>
      </c>
      <c r="L268" s="13"/>
    </row>
    <row r="269" ht="24" customHeight="1" spans="2:12">
      <c r="B269" s="11"/>
      <c r="C269" s="11" t="s">
        <v>16</v>
      </c>
      <c r="D269" s="11" t="s">
        <v>338</v>
      </c>
      <c r="E269" s="11" t="s">
        <v>339</v>
      </c>
      <c r="F269" s="12">
        <v>16081.04</v>
      </c>
      <c r="G269" s="37"/>
      <c r="H269" s="37">
        <f t="shared" si="94"/>
        <v>0</v>
      </c>
      <c r="I269" s="37"/>
      <c r="J269" s="37">
        <f t="shared" si="95"/>
        <v>0</v>
      </c>
      <c r="K269" s="12">
        <f t="shared" si="96"/>
        <v>16081.04</v>
      </c>
      <c r="L269" s="13"/>
    </row>
    <row r="270" ht="24" customHeight="1" spans="2:12">
      <c r="B270" s="11"/>
      <c r="C270" s="11" t="s">
        <v>16</v>
      </c>
      <c r="D270" s="11" t="s">
        <v>194</v>
      </c>
      <c r="E270" s="11" t="s">
        <v>340</v>
      </c>
      <c r="F270" s="12">
        <v>0</v>
      </c>
      <c r="G270" s="37"/>
      <c r="H270" s="37">
        <f t="shared" si="94"/>
        <v>0</v>
      </c>
      <c r="I270" s="37"/>
      <c r="J270" s="37">
        <f t="shared" si="95"/>
        <v>0</v>
      </c>
      <c r="K270" s="12">
        <f t="shared" si="96"/>
        <v>0</v>
      </c>
      <c r="L270" s="13"/>
    </row>
    <row r="271" ht="24" customHeight="1" spans="2:12">
      <c r="B271" s="11"/>
      <c r="C271" s="11" t="s">
        <v>16</v>
      </c>
      <c r="D271" s="11" t="s">
        <v>166</v>
      </c>
      <c r="E271" s="11" t="s">
        <v>341</v>
      </c>
      <c r="F271" s="12">
        <v>1425.79</v>
      </c>
      <c r="G271" s="37"/>
      <c r="H271" s="37">
        <f t="shared" si="94"/>
        <v>0</v>
      </c>
      <c r="I271" s="37"/>
      <c r="J271" s="37">
        <f t="shared" si="95"/>
        <v>0</v>
      </c>
      <c r="K271" s="12">
        <f t="shared" si="96"/>
        <v>1425.79</v>
      </c>
      <c r="L271" s="13"/>
    </row>
    <row r="272" ht="24" customHeight="1" spans="2:12">
      <c r="B272" s="11"/>
      <c r="C272" s="11" t="s">
        <v>16</v>
      </c>
      <c r="D272" s="11" t="s">
        <v>342</v>
      </c>
      <c r="E272" s="11" t="s">
        <v>343</v>
      </c>
      <c r="F272" s="12">
        <v>552.56</v>
      </c>
      <c r="G272" s="37"/>
      <c r="H272" s="37">
        <f t="shared" si="94"/>
        <v>0</v>
      </c>
      <c r="I272" s="37"/>
      <c r="J272" s="37">
        <f t="shared" si="95"/>
        <v>0</v>
      </c>
      <c r="K272" s="12">
        <f t="shared" si="96"/>
        <v>552.56</v>
      </c>
      <c r="L272" s="13"/>
    </row>
    <row r="273" ht="24" customHeight="1" spans="2:12">
      <c r="B273" s="11"/>
      <c r="C273" s="11" t="s">
        <v>16</v>
      </c>
      <c r="D273" s="11" t="s">
        <v>95</v>
      </c>
      <c r="E273" s="11" t="s">
        <v>344</v>
      </c>
      <c r="F273" s="12">
        <v>0</v>
      </c>
      <c r="G273" s="37"/>
      <c r="H273" s="37">
        <f t="shared" si="94"/>
        <v>0</v>
      </c>
      <c r="I273" s="37"/>
      <c r="J273" s="37">
        <f t="shared" si="95"/>
        <v>0</v>
      </c>
      <c r="K273" s="12">
        <f t="shared" si="96"/>
        <v>0</v>
      </c>
      <c r="L273" s="13"/>
    </row>
    <row r="274" customFormat="1" ht="24" customHeight="1" spans="2:12">
      <c r="B274" s="29"/>
      <c r="C274" s="38"/>
      <c r="D274" s="29" t="s">
        <v>111</v>
      </c>
      <c r="E274" s="38"/>
      <c r="F274" s="39">
        <f t="shared" ref="F274:K274" si="97">SUM(F267:F273)</f>
        <v>73537.86</v>
      </c>
      <c r="G274" s="39">
        <f t="shared" si="97"/>
        <v>0</v>
      </c>
      <c r="H274" s="39">
        <f t="shared" si="97"/>
        <v>0</v>
      </c>
      <c r="I274" s="39">
        <f t="shared" si="97"/>
        <v>0</v>
      </c>
      <c r="J274" s="39">
        <f t="shared" si="97"/>
        <v>0</v>
      </c>
      <c r="K274" s="39">
        <f t="shared" si="97"/>
        <v>73537.86</v>
      </c>
      <c r="L274" s="38"/>
    </row>
    <row r="275" ht="24" customHeight="1" spans="2:12">
      <c r="B275" s="11"/>
      <c r="C275" s="11" t="s">
        <v>112</v>
      </c>
      <c r="D275" s="11" t="s">
        <v>112</v>
      </c>
      <c r="E275" s="11" t="s">
        <v>345</v>
      </c>
      <c r="F275" s="12">
        <v>0</v>
      </c>
      <c r="G275" s="37"/>
      <c r="H275" s="37">
        <f>G275</f>
        <v>0</v>
      </c>
      <c r="I275" s="37"/>
      <c r="J275" s="37">
        <f>I275</f>
        <v>0</v>
      </c>
      <c r="K275" s="12">
        <f>F275+H275-J275</f>
        <v>0</v>
      </c>
      <c r="L275" s="13"/>
    </row>
    <row r="276" ht="24" customHeight="1" spans="2:12">
      <c r="B276" s="19"/>
      <c r="C276" s="22"/>
      <c r="D276" s="19" t="s">
        <v>119</v>
      </c>
      <c r="E276" s="22"/>
      <c r="F276" s="23">
        <f t="shared" ref="F276:K276" si="98">SUM(F275:F275)</f>
        <v>0</v>
      </c>
      <c r="G276" s="23">
        <f t="shared" si="98"/>
        <v>0</v>
      </c>
      <c r="H276" s="23">
        <f t="shared" si="98"/>
        <v>0</v>
      </c>
      <c r="I276" s="23">
        <f t="shared" si="98"/>
        <v>0</v>
      </c>
      <c r="J276" s="23">
        <f t="shared" si="98"/>
        <v>0</v>
      </c>
      <c r="K276" s="23">
        <f t="shared" si="98"/>
        <v>0</v>
      </c>
      <c r="L276" s="22"/>
    </row>
    <row r="277" ht="24" customHeight="1" spans="2:12">
      <c r="B277" s="11"/>
      <c r="C277" s="11" t="s">
        <v>120</v>
      </c>
      <c r="D277" s="11" t="s">
        <v>120</v>
      </c>
      <c r="E277" s="11" t="s">
        <v>346</v>
      </c>
      <c r="F277" s="12">
        <v>0</v>
      </c>
      <c r="G277" s="37"/>
      <c r="H277" s="37">
        <f>G277</f>
        <v>0</v>
      </c>
      <c r="I277" s="37"/>
      <c r="J277" s="37">
        <f>I277</f>
        <v>0</v>
      </c>
      <c r="K277" s="12">
        <f>F277+H277-J277</f>
        <v>0</v>
      </c>
      <c r="L277" s="13"/>
    </row>
    <row r="278" ht="24" customHeight="1" spans="2:12">
      <c r="B278" s="19"/>
      <c r="C278" s="22"/>
      <c r="D278" s="19" t="s">
        <v>122</v>
      </c>
      <c r="E278" s="22"/>
      <c r="F278" s="23">
        <f t="shared" ref="F278:K278" si="99">SUM(F277:F277)</f>
        <v>0</v>
      </c>
      <c r="G278" s="23">
        <f t="shared" si="99"/>
        <v>0</v>
      </c>
      <c r="H278" s="23">
        <f t="shared" si="99"/>
        <v>0</v>
      </c>
      <c r="I278" s="23">
        <f t="shared" si="99"/>
        <v>0</v>
      </c>
      <c r="J278" s="23">
        <f t="shared" si="99"/>
        <v>0</v>
      </c>
      <c r="K278" s="23">
        <f t="shared" si="99"/>
        <v>0</v>
      </c>
      <c r="L278" s="22"/>
    </row>
    <row r="279" ht="24" customHeight="1" spans="2:12">
      <c r="B279" s="24"/>
      <c r="C279" s="27"/>
      <c r="D279" s="24" t="s">
        <v>347</v>
      </c>
      <c r="E279" s="27"/>
      <c r="F279" s="28">
        <f t="shared" ref="F279:K279" si="100">F274+F276+F278</f>
        <v>73537.86</v>
      </c>
      <c r="G279" s="28">
        <f t="shared" si="100"/>
        <v>0</v>
      </c>
      <c r="H279" s="28">
        <f t="shared" si="100"/>
        <v>0</v>
      </c>
      <c r="I279" s="28">
        <f t="shared" si="100"/>
        <v>0</v>
      </c>
      <c r="J279" s="28">
        <f t="shared" si="100"/>
        <v>0</v>
      </c>
      <c r="K279" s="28">
        <f t="shared" si="100"/>
        <v>73537.86</v>
      </c>
      <c r="L279" s="27"/>
    </row>
    <row r="280" ht="24" customHeight="1" spans="2:12">
      <c r="B280" s="11" t="s">
        <v>348</v>
      </c>
      <c r="C280" s="11" t="s">
        <v>16</v>
      </c>
      <c r="D280" s="11" t="s">
        <v>194</v>
      </c>
      <c r="E280" s="11" t="s">
        <v>349</v>
      </c>
      <c r="F280" s="12">
        <v>8655.63</v>
      </c>
      <c r="G280" s="37"/>
      <c r="H280" s="37">
        <f>G280</f>
        <v>0</v>
      </c>
      <c r="I280" s="37"/>
      <c r="J280" s="37">
        <f>I280</f>
        <v>0</v>
      </c>
      <c r="K280" s="12">
        <f>F280+H280-J280</f>
        <v>8655.63</v>
      </c>
      <c r="L280" s="13"/>
    </row>
    <row r="281" ht="24" customHeight="1" spans="2:12">
      <c r="B281" s="11"/>
      <c r="C281" s="11" t="s">
        <v>16</v>
      </c>
      <c r="D281" s="11" t="s">
        <v>31</v>
      </c>
      <c r="E281" s="11" t="s">
        <v>350</v>
      </c>
      <c r="F281" s="12">
        <v>5730.28</v>
      </c>
      <c r="G281" s="37"/>
      <c r="H281" s="37">
        <f>G281</f>
        <v>0</v>
      </c>
      <c r="I281" s="37"/>
      <c r="J281" s="37">
        <f>I281</f>
        <v>0</v>
      </c>
      <c r="K281" s="12">
        <f>F281+H281-J281</f>
        <v>5730.28</v>
      </c>
      <c r="L281" s="13"/>
    </row>
    <row r="282" ht="24" customHeight="1" spans="2:12">
      <c r="B282" s="11" t="s">
        <v>351</v>
      </c>
      <c r="C282" s="11" t="s">
        <v>16</v>
      </c>
      <c r="D282" s="11" t="s">
        <v>352</v>
      </c>
      <c r="E282" s="11" t="s">
        <v>353</v>
      </c>
      <c r="F282" s="12">
        <v>4657.22</v>
      </c>
      <c r="G282" s="37"/>
      <c r="H282" s="37">
        <f>G282</f>
        <v>0</v>
      </c>
      <c r="I282" s="37"/>
      <c r="J282" s="37">
        <f>I282</f>
        <v>0</v>
      </c>
      <c r="K282" s="12">
        <f>F282+H282-J282</f>
        <v>4657.22</v>
      </c>
      <c r="L282" s="13"/>
    </row>
    <row r="283" ht="24" customHeight="1" spans="2:12">
      <c r="B283" s="11" t="s">
        <v>354</v>
      </c>
      <c r="C283" s="11" t="s">
        <v>16</v>
      </c>
      <c r="D283" s="11" t="s">
        <v>355</v>
      </c>
      <c r="E283" s="11" t="s">
        <v>356</v>
      </c>
      <c r="F283" s="12">
        <v>7395.07</v>
      </c>
      <c r="G283" s="12"/>
      <c r="H283" s="37">
        <f>G283</f>
        <v>0</v>
      </c>
      <c r="I283" s="12"/>
      <c r="J283" s="37">
        <f>I283</f>
        <v>0</v>
      </c>
      <c r="K283" s="12">
        <f>F283+H283-J283</f>
        <v>7395.07</v>
      </c>
      <c r="L283" s="13"/>
    </row>
    <row r="284" ht="24" customHeight="1" spans="2:12">
      <c r="B284" s="11" t="s">
        <v>357</v>
      </c>
      <c r="C284" s="11" t="s">
        <v>16</v>
      </c>
      <c r="D284" s="11" t="s">
        <v>71</v>
      </c>
      <c r="E284" s="11" t="s">
        <v>358</v>
      </c>
      <c r="F284" s="12">
        <v>2002.01</v>
      </c>
      <c r="G284" s="37"/>
      <c r="H284" s="37">
        <f>G284</f>
        <v>0</v>
      </c>
      <c r="I284" s="37"/>
      <c r="J284" s="37">
        <f>I284</f>
        <v>0</v>
      </c>
      <c r="K284" s="12">
        <f>F284+H284-J284</f>
        <v>2002.01</v>
      </c>
      <c r="L284" s="13"/>
    </row>
    <row r="285" ht="24" customHeight="1" spans="2:12">
      <c r="B285" s="19"/>
      <c r="C285" s="22"/>
      <c r="D285" s="19" t="s">
        <v>111</v>
      </c>
      <c r="E285" s="22"/>
      <c r="F285" s="23">
        <f t="shared" ref="F285:K285" si="101">SUM(F280:F284)</f>
        <v>28440.21</v>
      </c>
      <c r="G285" s="23">
        <f t="shared" si="101"/>
        <v>0</v>
      </c>
      <c r="H285" s="23">
        <f t="shared" si="101"/>
        <v>0</v>
      </c>
      <c r="I285" s="23">
        <f t="shared" si="101"/>
        <v>0</v>
      </c>
      <c r="J285" s="23">
        <f t="shared" si="101"/>
        <v>0</v>
      </c>
      <c r="K285" s="23">
        <f t="shared" si="101"/>
        <v>28440.21</v>
      </c>
      <c r="L285" s="22"/>
    </row>
    <row r="286" ht="24" customHeight="1" spans="2:12">
      <c r="B286" s="24"/>
      <c r="C286" s="27"/>
      <c r="D286" s="36" t="s">
        <v>359</v>
      </c>
      <c r="E286" s="27"/>
      <c r="F286" s="28">
        <f t="shared" ref="F286:K286" si="102">F285</f>
        <v>28440.21</v>
      </c>
      <c r="G286" s="28">
        <f t="shared" si="102"/>
        <v>0</v>
      </c>
      <c r="H286" s="28">
        <f t="shared" si="102"/>
        <v>0</v>
      </c>
      <c r="I286" s="28">
        <f t="shared" si="102"/>
        <v>0</v>
      </c>
      <c r="J286" s="28">
        <f t="shared" si="102"/>
        <v>0</v>
      </c>
      <c r="K286" s="28">
        <f t="shared" si="102"/>
        <v>28440.21</v>
      </c>
      <c r="L286" s="27"/>
    </row>
    <row r="287" ht="24" customHeight="1" spans="2:12">
      <c r="B287" s="11" t="s">
        <v>360</v>
      </c>
      <c r="C287" s="11" t="s">
        <v>16</v>
      </c>
      <c r="D287" s="11" t="s">
        <v>361</v>
      </c>
      <c r="E287" s="11" t="s">
        <v>362</v>
      </c>
      <c r="F287" s="12">
        <v>113482.22</v>
      </c>
      <c r="G287" s="37"/>
      <c r="H287" s="37">
        <f>G287</f>
        <v>0</v>
      </c>
      <c r="I287" s="37"/>
      <c r="J287" s="37">
        <f>I287</f>
        <v>0</v>
      </c>
      <c r="K287" s="12">
        <f>F287+H287-J287</f>
        <v>113482.22</v>
      </c>
      <c r="L287" s="13"/>
    </row>
    <row r="288" ht="24" customHeight="1" spans="2:12">
      <c r="B288" s="11" t="s">
        <v>363</v>
      </c>
      <c r="C288" s="11" t="s">
        <v>16</v>
      </c>
      <c r="D288" s="11" t="s">
        <v>79</v>
      </c>
      <c r="E288" s="11" t="s">
        <v>364</v>
      </c>
      <c r="F288" s="12">
        <v>2926.57</v>
      </c>
      <c r="G288" s="37"/>
      <c r="H288" s="37">
        <f t="shared" ref="H288:H293" si="103">G288</f>
        <v>0</v>
      </c>
      <c r="I288" s="37"/>
      <c r="J288" s="37">
        <f t="shared" ref="J288:J293" si="104">I288</f>
        <v>0</v>
      </c>
      <c r="K288" s="12">
        <f t="shared" ref="K288:K293" si="105">F288+H288-J288</f>
        <v>2926.57</v>
      </c>
      <c r="L288" s="13"/>
    </row>
    <row r="289" ht="24" customHeight="1" spans="2:12">
      <c r="B289" s="11" t="s">
        <v>365</v>
      </c>
      <c r="C289" s="11" t="s">
        <v>16</v>
      </c>
      <c r="D289" s="11" t="s">
        <v>366</v>
      </c>
      <c r="E289" s="11" t="s">
        <v>367</v>
      </c>
      <c r="F289" s="12">
        <v>3308.82</v>
      </c>
      <c r="G289" s="37"/>
      <c r="H289" s="37">
        <f t="shared" si="103"/>
        <v>0</v>
      </c>
      <c r="I289" s="37"/>
      <c r="J289" s="37">
        <f t="shared" si="104"/>
        <v>0</v>
      </c>
      <c r="K289" s="12">
        <f t="shared" si="105"/>
        <v>3308.82</v>
      </c>
      <c r="L289" s="13"/>
    </row>
    <row r="290" ht="24" customHeight="1" spans="2:12">
      <c r="B290" s="11" t="s">
        <v>368</v>
      </c>
      <c r="C290" s="11" t="s">
        <v>16</v>
      </c>
      <c r="D290" s="11" t="s">
        <v>369</v>
      </c>
      <c r="E290" s="11" t="s">
        <v>370</v>
      </c>
      <c r="F290" s="12">
        <v>4075.34</v>
      </c>
      <c r="G290" s="37"/>
      <c r="H290" s="37">
        <f t="shared" si="103"/>
        <v>0</v>
      </c>
      <c r="I290" s="37"/>
      <c r="J290" s="37">
        <f t="shared" si="104"/>
        <v>0</v>
      </c>
      <c r="K290" s="12">
        <f t="shared" si="105"/>
        <v>4075.34</v>
      </c>
      <c r="L290" s="13"/>
    </row>
    <row r="291" ht="24" customHeight="1" spans="2:12">
      <c r="B291" s="11" t="s">
        <v>371</v>
      </c>
      <c r="C291" s="11" t="s">
        <v>16</v>
      </c>
      <c r="D291" s="11" t="s">
        <v>372</v>
      </c>
      <c r="E291" s="11" t="s">
        <v>373</v>
      </c>
      <c r="F291" s="12">
        <v>149972.08</v>
      </c>
      <c r="G291" s="37"/>
      <c r="H291" s="37">
        <f t="shared" si="103"/>
        <v>0</v>
      </c>
      <c r="I291" s="37"/>
      <c r="J291" s="37">
        <f t="shared" si="104"/>
        <v>0</v>
      </c>
      <c r="K291" s="12">
        <f t="shared" si="105"/>
        <v>149972.08</v>
      </c>
      <c r="L291" s="13"/>
    </row>
    <row r="292" ht="24" customHeight="1" spans="2:12">
      <c r="B292" s="11" t="s">
        <v>374</v>
      </c>
      <c r="C292" s="11" t="s">
        <v>16</v>
      </c>
      <c r="D292" s="11"/>
      <c r="E292" s="11" t="s">
        <v>375</v>
      </c>
      <c r="F292" s="12">
        <v>150000</v>
      </c>
      <c r="G292" s="37"/>
      <c r="H292" s="37">
        <f t="shared" si="103"/>
        <v>0</v>
      </c>
      <c r="I292" s="37"/>
      <c r="J292" s="37">
        <f t="shared" si="104"/>
        <v>0</v>
      </c>
      <c r="K292" s="12">
        <f t="shared" si="105"/>
        <v>150000</v>
      </c>
      <c r="L292" s="13"/>
    </row>
    <row r="293" ht="24" customHeight="1" spans="2:12">
      <c r="B293" s="11" t="s">
        <v>376</v>
      </c>
      <c r="C293" s="11" t="s">
        <v>16</v>
      </c>
      <c r="D293" s="11" t="s">
        <v>355</v>
      </c>
      <c r="E293" s="11" t="s">
        <v>377</v>
      </c>
      <c r="F293" s="12">
        <v>27025.42</v>
      </c>
      <c r="G293" s="40"/>
      <c r="H293" s="37">
        <f t="shared" si="103"/>
        <v>0</v>
      </c>
      <c r="I293" s="40"/>
      <c r="J293" s="37">
        <f t="shared" si="104"/>
        <v>0</v>
      </c>
      <c r="K293" s="12">
        <f t="shared" si="105"/>
        <v>27025.42</v>
      </c>
      <c r="L293" s="13"/>
    </row>
    <row r="294" customFormat="1" ht="24" customHeight="1" spans="2:12">
      <c r="B294" s="29"/>
      <c r="C294" s="38"/>
      <c r="D294" s="29" t="s">
        <v>111</v>
      </c>
      <c r="E294" s="38"/>
      <c r="F294" s="39">
        <f t="shared" ref="F294:K294" si="106">SUM(F287:F293)</f>
        <v>450790.45</v>
      </c>
      <c r="G294" s="39">
        <f t="shared" si="106"/>
        <v>0</v>
      </c>
      <c r="H294" s="39">
        <f t="shared" si="106"/>
        <v>0</v>
      </c>
      <c r="I294" s="39">
        <f t="shared" si="106"/>
        <v>0</v>
      </c>
      <c r="J294" s="39">
        <f t="shared" si="106"/>
        <v>0</v>
      </c>
      <c r="K294" s="39">
        <f t="shared" si="106"/>
        <v>450790.45</v>
      </c>
      <c r="L294" s="38"/>
    </row>
    <row r="295" ht="24" customHeight="1" spans="2:12">
      <c r="B295" s="24"/>
      <c r="C295" s="27"/>
      <c r="D295" s="36" t="s">
        <v>378</v>
      </c>
      <c r="E295" s="27"/>
      <c r="F295" s="28">
        <f t="shared" ref="F295:K295" si="107">F294</f>
        <v>450790.45</v>
      </c>
      <c r="G295" s="28">
        <f t="shared" si="107"/>
        <v>0</v>
      </c>
      <c r="H295" s="28">
        <f t="shared" si="107"/>
        <v>0</v>
      </c>
      <c r="I295" s="28">
        <f t="shared" si="107"/>
        <v>0</v>
      </c>
      <c r="J295" s="28">
        <f t="shared" si="107"/>
        <v>0</v>
      </c>
      <c r="K295" s="28">
        <f t="shared" si="107"/>
        <v>450790.45</v>
      </c>
      <c r="L295" s="27"/>
    </row>
    <row r="296" ht="24" customHeight="1" spans="2:12">
      <c r="B296" s="41" t="s">
        <v>379</v>
      </c>
      <c r="C296" s="42"/>
      <c r="D296" s="43" t="s">
        <v>379</v>
      </c>
      <c r="E296" s="42"/>
      <c r="F296" s="44">
        <f>SUM(F297:F300)</f>
        <v>74194971.78</v>
      </c>
      <c r="G296" s="44">
        <f>G297+G298+G299+G300</f>
        <v>0</v>
      </c>
      <c r="H296" s="44">
        <f>H297+H298+H299+H300</f>
        <v>0</v>
      </c>
      <c r="I296" s="44">
        <f>I297+I298+I299+I300</f>
        <v>0</v>
      </c>
      <c r="J296" s="44">
        <f>J297+J298+J299+J300</f>
        <v>0</v>
      </c>
      <c r="K296" s="44">
        <f>K297+K298+K299+K300</f>
        <v>74194971.78</v>
      </c>
      <c r="L296" s="42"/>
    </row>
    <row r="297" ht="24" customHeight="1" spans="2:12">
      <c r="B297" s="45" t="s">
        <v>380</v>
      </c>
      <c r="C297" s="46"/>
      <c r="D297" s="47" t="s">
        <v>380</v>
      </c>
      <c r="E297" s="46"/>
      <c r="F297" s="48">
        <f t="shared" ref="F297:K297" si="108">F49+F59+F67+F73+F78+F84+F92+F101+F112+F123+F130+F139+F149+F163+F172+F181+F195+F203+F210+F215+F225+F243+F250+F258+F263+F285+F294+F274</f>
        <v>62798400.8</v>
      </c>
      <c r="G297" s="48">
        <f t="shared" si="108"/>
        <v>0</v>
      </c>
      <c r="H297" s="48">
        <f t="shared" si="108"/>
        <v>0</v>
      </c>
      <c r="I297" s="48">
        <f t="shared" si="108"/>
        <v>0</v>
      </c>
      <c r="J297" s="48">
        <f t="shared" si="108"/>
        <v>0</v>
      </c>
      <c r="K297" s="48">
        <f t="shared" si="108"/>
        <v>62798400.8</v>
      </c>
      <c r="L297" s="46"/>
    </row>
    <row r="298" ht="24" customHeight="1" spans="2:12">
      <c r="B298" s="45" t="s">
        <v>381</v>
      </c>
      <c r="C298" s="46"/>
      <c r="D298" s="47" t="s">
        <v>381</v>
      </c>
      <c r="E298" s="46"/>
      <c r="F298" s="48">
        <f t="shared" ref="F298:K298" si="109">F54+F94+F103+F114+F125+F143+F165+F183+F217+F227+F245+F252+F276</f>
        <v>129527.84</v>
      </c>
      <c r="G298" s="48">
        <f t="shared" si="109"/>
        <v>0</v>
      </c>
      <c r="H298" s="48">
        <f t="shared" si="109"/>
        <v>0</v>
      </c>
      <c r="I298" s="48">
        <f t="shared" si="109"/>
        <v>0</v>
      </c>
      <c r="J298" s="48">
        <f t="shared" si="109"/>
        <v>0</v>
      </c>
      <c r="K298" s="48">
        <f t="shared" si="109"/>
        <v>129527.84</v>
      </c>
      <c r="L298" s="46"/>
    </row>
    <row r="299" ht="24" customHeight="1" spans="2:12">
      <c r="B299" s="45" t="s">
        <v>382</v>
      </c>
      <c r="C299" s="46"/>
      <c r="D299" s="47" t="s">
        <v>382</v>
      </c>
      <c r="E299" s="46"/>
      <c r="F299" s="48">
        <f t="shared" ref="F299:K299" si="110">F141</f>
        <v>4067038.14</v>
      </c>
      <c r="G299" s="48">
        <f t="shared" si="110"/>
        <v>0</v>
      </c>
      <c r="H299" s="48">
        <f t="shared" si="110"/>
        <v>0</v>
      </c>
      <c r="I299" s="48">
        <f t="shared" si="110"/>
        <v>0</v>
      </c>
      <c r="J299" s="48">
        <f t="shared" si="110"/>
        <v>0</v>
      </c>
      <c r="K299" s="48">
        <f t="shared" si="110"/>
        <v>4067038.14</v>
      </c>
      <c r="L299" s="46"/>
    </row>
    <row r="300" ht="24" customHeight="1" spans="2:12">
      <c r="B300" s="45" t="s">
        <v>383</v>
      </c>
      <c r="C300" s="46"/>
      <c r="D300" s="47" t="s">
        <v>383</v>
      </c>
      <c r="E300" s="46"/>
      <c r="F300" s="48">
        <f t="shared" ref="F300:K300" si="111">F56+F69+F75+F80+F86+F96+F105+F116+F127+F132+F145+F151+F167+F174+F185+F197+F205+F212+F219+F229+F247+F254+F260+F265+F278</f>
        <v>7200005</v>
      </c>
      <c r="G300" s="48">
        <f t="shared" si="111"/>
        <v>0</v>
      </c>
      <c r="H300" s="48">
        <f t="shared" si="111"/>
        <v>0</v>
      </c>
      <c r="I300" s="48">
        <f t="shared" si="111"/>
        <v>0</v>
      </c>
      <c r="J300" s="48">
        <f t="shared" si="111"/>
        <v>0</v>
      </c>
      <c r="K300" s="48">
        <f t="shared" si="111"/>
        <v>7200005</v>
      </c>
      <c r="L300" s="46"/>
    </row>
    <row r="301" ht="24" customHeight="1"/>
  </sheetData>
  <autoFilter xmlns:etc="http://www.wps.cn/officeDocument/2017/etCustomData" ref="B4:O300" etc:filterBottomFollowUsedRange="0">
    <extLst/>
  </autoFilter>
  <mergeCells count="3">
    <mergeCell ref="B1:L1"/>
    <mergeCell ref="D2:H2"/>
    <mergeCell ref="K2:L2"/>
  </mergeCells>
  <pageMargins left="0.75" right="0.75" top="1" bottom="1" header="0.511811023622047" footer="0.511811023622047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余额日报表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明天你好</cp:lastModifiedBy>
  <cp:revision>0</cp:revision>
  <dcterms:created xsi:type="dcterms:W3CDTF">2026-04-23T10:35:00Z</dcterms:created>
  <dcterms:modified xsi:type="dcterms:W3CDTF">2026-04-27T04:14:18Z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17CA5A6745994ABA83B927A48673AD28_13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